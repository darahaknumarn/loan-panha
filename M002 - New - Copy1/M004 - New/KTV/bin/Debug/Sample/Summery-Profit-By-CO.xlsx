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1" l="1"/>
  <c r="S9" i="1" s="1"/>
  <c r="R10" i="1"/>
  <c r="S10" i="1" s="1"/>
  <c r="R8" i="1"/>
  <c r="R11" i="1" s="1"/>
  <c r="P11" i="1"/>
  <c r="Q11" i="1"/>
  <c r="S8" i="1" l="1"/>
  <c r="S11" i="1" s="1"/>
  <c r="E11" i="1"/>
  <c r="F11" i="1"/>
  <c r="G11" i="1"/>
  <c r="H11" i="1"/>
  <c r="I11" i="1"/>
  <c r="J11" i="1"/>
  <c r="K11" i="1"/>
  <c r="L11" i="1"/>
  <c r="M11" i="1"/>
  <c r="N11" i="1"/>
  <c r="O11" i="1"/>
  <c r="D11" i="1"/>
  <c r="C11" i="1"/>
</calcChain>
</file>

<file path=xl/sharedStrings.xml><?xml version="1.0" encoding="utf-8"?>
<sst xmlns="http://schemas.openxmlformats.org/spreadsheetml/2006/main" count="22" uniqueCount="22">
  <si>
    <t xml:space="preserve">Date: </t>
  </si>
  <si>
    <t>របាយការណ៍សង្ខេបស្ដីពីប្រាក់ចំណេញតាមមន្ដ្រីឥណទាន</t>
  </si>
  <si>
    <t>LR_BrID</t>
  </si>
  <si>
    <t>EM_ID</t>
  </si>
  <si>
    <t>EM_Name</t>
  </si>
  <si>
    <t>AdminKHR</t>
  </si>
  <si>
    <t>AdminUSD</t>
  </si>
  <si>
    <t>Loan_KHR_Count</t>
  </si>
  <si>
    <t>Loan_USD_Count</t>
  </si>
  <si>
    <t>LR_Amt_KHR</t>
  </si>
  <si>
    <t>LR_Amt_USD</t>
  </si>
  <si>
    <t>Prn_KHR</t>
  </si>
  <si>
    <t>Prn_USD</t>
  </si>
  <si>
    <t>Int_KHR</t>
  </si>
  <si>
    <t>Int_USD</t>
  </si>
  <si>
    <t>Service_KHR</t>
  </si>
  <si>
    <t>Service_USD</t>
  </si>
  <si>
    <t>Charge_KHR</t>
  </si>
  <si>
    <t>Charge_USD</t>
  </si>
  <si>
    <t>Total in KHR</t>
  </si>
  <si>
    <t>Total in USD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</si>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</sst>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i/>
      <sz val="10"/>
      <color rgb="FF002060"/>
      <name val="Khmer OS"/>
    </font>
    <font>
      <b/>
      <sz val="10"/>
      <color rgb="FF002060"/>
      <name val="Khmer OS"/>
    </font>
    <font>
      <sz val="8"/>
      <color rgb="FF002060"/>
      <name val="Khmer OS"/>
    </font>
    <font>
      <i/>
      <sz val="8"/>
      <color rgb="FF002060"/>
      <name val="Khmer O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38" fontId="6" fillId="0" borderId="1" xfId="1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38" fontId="9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"/>
  <sheetViews>
    <sheetView tabSelected="1" workbookViewId="0">
      <selection activeCell="A2" sqref="A2:S2"/>
    </sheetView>
  </sheetViews>
  <sheetFormatPr defaultColWidth="9.109375" defaultRowHeight="14.4" x14ac:dyDescent="0.3"/>
  <cols>
    <col min="1" max="1" width="8" style="1" customWidth="1"/>
    <col min="2" max="2" width="7.6640625" style="1" customWidth="1"/>
    <col min="3" max="3" width="15.88671875" style="1" customWidth="1"/>
    <col min="4" max="4" width="12" style="1" customWidth="1"/>
    <col min="5" max="5" width="10.109375" style="1" customWidth="1"/>
    <col min="6" max="6" width="13.33203125" style="1" bestFit="1" customWidth="1"/>
    <col min="7" max="7" width="13.109375" style="1" bestFit="1" customWidth="1"/>
    <col min="8" max="8" width="10.33203125" style="1" bestFit="1" customWidth="1"/>
    <col min="9" max="9" width="10.109375" style="1" bestFit="1" customWidth="1"/>
    <col min="10" max="10" width="12.109375" style="1" customWidth="1"/>
    <col min="11" max="11" width="9" style="1" customWidth="1"/>
    <col min="12" max="12" width="9.88671875" style="1" customWidth="1"/>
    <col min="13" max="13" width="10.33203125" style="1" customWidth="1"/>
    <col min="14" max="14" width="11.88671875" style="1" customWidth="1"/>
    <col min="15" max="15" width="10.88671875" style="1" customWidth="1"/>
    <col min="16" max="16" width="9.88671875" style="1" bestFit="1" customWidth="1"/>
    <col min="17" max="17" width="9.109375" style="1"/>
    <col min="18" max="18" width="12" style="1" customWidth="1"/>
    <col min="19" max="19" width="10.88671875" style="1" customWidth="1"/>
    <col min="20" max="16384" width="9.109375" style="1"/>
  </cols>
  <sheetData>
    <row r="1" spans="1:19" ht="15" customHeight="1" x14ac:dyDescent="1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ht="34.799999999999997" x14ac:dyDescent="1.2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8.25" customHeight="1" x14ac:dyDescent="0.3"/>
    <row r="6" spans="1:19" ht="16.8" x14ac:dyDescent="0.3">
      <c r="A6" s="10" t="s">
        <v>0</v>
      </c>
      <c r="B6" s="10"/>
      <c r="C6" s="10"/>
      <c r="D6" s="10"/>
    </row>
    <row r="7" spans="1:19" ht="20.25" customHeight="1" x14ac:dyDescent="0.3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4" t="s">
        <v>15</v>
      </c>
      <c r="O7" s="4" t="s">
        <v>16</v>
      </c>
      <c r="P7" s="4" t="s">
        <v>17</v>
      </c>
      <c r="Q7" s="4" t="s">
        <v>18</v>
      </c>
      <c r="R7" s="4" t="s">
        <v>19</v>
      </c>
      <c r="S7" s="4" t="s">
        <v>20</v>
      </c>
    </row>
    <row r="8" spans="1:19" ht="21.9" customHeight="1" x14ac:dyDescent="0.3">
      <c r="A8" s="5"/>
      <c r="B8" s="5"/>
      <c r="C8" s="6"/>
      <c r="D8" s="7"/>
      <c r="E8" s="7"/>
      <c r="F8" s="7"/>
      <c r="G8" s="7"/>
      <c r="H8" s="7"/>
      <c r="I8" s="7"/>
      <c r="J8" s="7"/>
      <c r="K8" s="7"/>
      <c r="L8" s="7">
        <v>1</v>
      </c>
      <c r="M8" s="7">
        <v>3000000</v>
      </c>
      <c r="N8" s="7">
        <v>5000</v>
      </c>
      <c r="O8" s="7"/>
      <c r="P8" s="7"/>
      <c r="Q8" s="7"/>
      <c r="R8" s="7">
        <f>SUM(D8,L8,N8,P8)</f>
        <v>5001</v>
      </c>
      <c r="S8" s="7">
        <f>R8/4000</f>
        <v>1.2502500000000001</v>
      </c>
    </row>
    <row r="9" spans="1:19" ht="21.9" customHeight="1" x14ac:dyDescent="0.3">
      <c r="A9" s="5"/>
      <c r="B9" s="5"/>
      <c r="C9" s="6"/>
      <c r="D9" s="7"/>
      <c r="E9" s="7"/>
      <c r="F9" s="7"/>
      <c r="G9" s="7"/>
      <c r="H9" s="7"/>
      <c r="I9" s="7"/>
      <c r="J9" s="7"/>
      <c r="K9" s="7"/>
      <c r="L9" s="7">
        <v>0</v>
      </c>
      <c r="M9" s="7">
        <v>3</v>
      </c>
      <c r="N9" s="7"/>
      <c r="O9" s="7"/>
      <c r="P9" s="7"/>
      <c r="Q9" s="7"/>
      <c r="R9" s="7">
        <f t="shared" ref="R9:R10" si="0">SUM(D9,L9,N9,P9)</f>
        <v>0</v>
      </c>
      <c r="S9" s="7">
        <f t="shared" ref="S9:S10" si="1">R9/4000</f>
        <v>0</v>
      </c>
    </row>
    <row r="10" spans="1:19" ht="21.9" customHeight="1" x14ac:dyDescent="0.3">
      <c r="A10" s="5"/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f t="shared" si="0"/>
        <v>0</v>
      </c>
      <c r="S10" s="7">
        <f t="shared" si="1"/>
        <v>0</v>
      </c>
    </row>
    <row r="11" spans="1:19" ht="21.9" customHeight="1" x14ac:dyDescent="0.3">
      <c r="A11" s="11" t="s">
        <v>21</v>
      </c>
      <c r="B11" s="12"/>
      <c r="C11" s="3">
        <f>SUBTOTAL(103,C8:C10)</f>
        <v>0</v>
      </c>
      <c r="D11" s="2">
        <f>SUBTOTAL(109,D8:D10)</f>
        <v>0</v>
      </c>
      <c r="E11" s="2">
        <f t="shared" ref="E11:S11" si="2">SUBTOTAL(109,E8:E10)</f>
        <v>0</v>
      </c>
      <c r="F11" s="2">
        <f t="shared" si="2"/>
        <v>0</v>
      </c>
      <c r="G11" s="2">
        <f t="shared" si="2"/>
        <v>0</v>
      </c>
      <c r="H11" s="2">
        <f t="shared" si="2"/>
        <v>0</v>
      </c>
      <c r="I11" s="2">
        <f t="shared" si="2"/>
        <v>0</v>
      </c>
      <c r="J11" s="2">
        <f t="shared" si="2"/>
        <v>0</v>
      </c>
      <c r="K11" s="2">
        <f t="shared" si="2"/>
        <v>0</v>
      </c>
      <c r="L11" s="2">
        <f t="shared" si="2"/>
        <v>1</v>
      </c>
      <c r="M11" s="2">
        <f t="shared" si="2"/>
        <v>3000003</v>
      </c>
      <c r="N11" s="2">
        <f t="shared" si="2"/>
        <v>5000</v>
      </c>
      <c r="O11" s="2">
        <f t="shared" si="2"/>
        <v>0</v>
      </c>
      <c r="P11" s="2">
        <f t="shared" si="2"/>
        <v>0</v>
      </c>
      <c r="Q11" s="2">
        <f t="shared" si="2"/>
        <v>0</v>
      </c>
      <c r="R11" s="2">
        <f t="shared" si="2"/>
        <v>5001</v>
      </c>
      <c r="S11" s="2">
        <f t="shared" si="2"/>
        <v>1.2502500000000001</v>
      </c>
    </row>
  </sheetData>
  <mergeCells count="5">
    <mergeCell ref="A1:S1"/>
    <mergeCell ref="A2:S2"/>
    <mergeCell ref="A4:S4"/>
    <mergeCell ref="A6:D6"/>
    <mergeCell ref="A11:B11"/>
  </mergeCells>
  <pageMargins left="0.45" right="0.38" top="0.5600000000000000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2017-12-19T10:37:24Z</cp:lastPrinted>
  <dcterms:created xsi:type="dcterms:W3CDTF">2017-12-19T10:08:47Z</dcterms:created>
  <dcterms:modified xsi:type="dcterms:W3CDTF">2020-02-26T00:52:42Z</dcterms:modified>
</cp:coreProperties>
</file>