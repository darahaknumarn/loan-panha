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827"/>
  <workbookPr/>
  <mc:AlternateContent xmlns:mc="http://schemas.openxmlformats.org/markup-compatibility/2006">
    <mc:Choice Requires="x15">
      <x15ac:absPath xmlns:x15ac="http://schemas.microsoft.com/office/spreadsheetml/2010/11/ac" url="C:\Users\Monyroth\Downloads\"/>
    </mc:Choice>
  </mc:AlternateContent>
  <bookViews>
    <workbookView xWindow="0" yWindow="0" windowWidth="20490" windowHeight="77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G10" i="1"/>
  <c r="G11" i="1"/>
  <c r="G9" i="1"/>
  <c r="G12" i="1" s="1"/>
  <c r="F10" i="1"/>
  <c r="F11" i="1"/>
  <c r="F9" i="1"/>
  <c r="E10" i="1"/>
  <c r="E11" i="1"/>
  <c r="E9" i="1"/>
  <c r="D10" i="1"/>
  <c r="D11" i="1"/>
  <c r="D9" i="1"/>
  <c r="E12" i="1" l="1"/>
  <c r="D12" i="1"/>
  <c r="F12" i="1"/>
  <c r="C12" i="1"/>
</calcChain>
</file>

<file path=xl/sharedStrings.xml><?xml version="1.0" encoding="utf-8"?>
<sst xmlns="http://schemas.openxmlformats.org/spreadsheetml/2006/main" count="39" uniqueCount="19">
  <si>
    <t>ក្រុមហ៊ុន មរកត អ៊ែកធីវ ឃែភីថល ឯ.ក</t>
  </si>
  <si>
    <t>MOROKOT ACTIVE CAPITAL CO.,LTD</t>
  </si>
  <si>
    <t xml:space="preserve">Date: </t>
  </si>
  <si>
    <t>កូដសាខា</t>
  </si>
  <si>
    <t>កូដបុគ្គលិក</t>
  </si>
  <si>
    <t>ឈ្មោះបុគ្គលិក</t>
  </si>
  <si>
    <t>ឥណទានថ្ងៃ</t>
  </si>
  <si>
    <t>ឥណទានខែ</t>
  </si>
  <si>
    <t>សប្ដាហ៍</t>
  </si>
  <si>
    <t>ពីរសប្ដាហ៍</t>
  </si>
  <si>
    <t>រៀល</t>
  </si>
  <si>
    <t>ដុល្លារ</t>
  </si>
  <si>
    <t>សរុបជាប្រាក់រៀល</t>
  </si>
  <si>
    <t>សរុបជាប្រាក់ដុល្លារ</t>
  </si>
  <si>
    <t>អតិថិនជន</t>
  </si>
  <si>
    <t>ទឹកប្រាក់</t>
  </si>
  <si>
    <t>របាយការណ៍សង្ខេបស្ដីពីចំនួនអតិថិជន និងទឹកប្រាក់យឺតរបស់មន្ដ្រីឥណទានតាមការិយាល័យ</t>
  </si>
  <si>
    <t>ចំនួនយឺត</t>
  </si>
  <si>
    <t>ចំនួនទឹកប្រាក់យឺត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</si>
</sst>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0#"/>
    <numFmt numFmtId="165" formatCode="000#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6"/>
      <color rgb="FF002060"/>
      <name val="Kh KoulenL"/>
    </font>
    <font>
      <sz val="11"/>
      <color rgb="FF002060"/>
      <name val="Calibri"/>
      <family val="2"/>
      <scheme val="minor"/>
    </font>
    <font>
      <sz val="8"/>
      <color rgb="FF002060"/>
      <name val="Khmer OS"/>
    </font>
    <font>
      <b/>
      <sz val="8"/>
      <color rgb="FF002060"/>
      <name val="Kh Content"/>
    </font>
    <font>
      <b/>
      <sz val="8"/>
      <color rgb="FF002060"/>
      <name val="Khmer OS"/>
    </font>
    <font>
      <b/>
      <sz val="8"/>
      <color rgb="FF002060"/>
      <name val="Khmer Kep"/>
    </font>
    <font>
      <sz val="16"/>
      <color rgb="FFC00000"/>
      <name val="Kh KoulenL"/>
    </font>
    <font>
      <b/>
      <sz val="11"/>
      <color rgb="FFC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thin">
        <color rgb="FF00206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4" fillId="0" borderId="0" xfId="0" applyFont="1"/>
    <xf numFmtId="165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vertical="center"/>
    </xf>
    <xf numFmtId="165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165" fontId="7" fillId="0" borderId="7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166" fontId="5" fillId="3" borderId="1" xfId="1" applyNumberFormat="1" applyFont="1" applyFill="1" applyBorder="1" applyAlignment="1">
      <alignment vertical="center"/>
    </xf>
    <xf numFmtId="166" fontId="5" fillId="3" borderId="1" xfId="1" applyNumberFormat="1" applyFont="1" applyFill="1" applyBorder="1" applyAlignment="1">
      <alignment horizontal="center" vertical="center"/>
    </xf>
    <xf numFmtId="166" fontId="5" fillId="3" borderId="5" xfId="1" applyNumberFormat="1" applyFont="1" applyFill="1" applyBorder="1" applyAlignment="1">
      <alignment vertical="center"/>
    </xf>
    <xf numFmtId="166" fontId="5" fillId="3" borderId="5" xfId="1" applyNumberFormat="1" applyFont="1" applyFill="1" applyBorder="1" applyAlignment="1">
      <alignment horizontal="center" vertical="center"/>
    </xf>
    <xf numFmtId="166" fontId="8" fillId="0" borderId="7" xfId="1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4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451897</xdr:colOff>
      <xdr:row>0</xdr:row>
      <xdr:rowOff>0</xdr:rowOff>
    </xdr:from>
    <xdr:to>
      <xdr:col>8</xdr:col>
      <xdr:colOff>319628</xdr:colOff>
      <xdr:row>2</xdr:row>
      <xdr:rowOff>87630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4747" y="0"/>
          <a:ext cx="1725106" cy="6972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2"/>
  <sheetViews>
    <sheetView tabSelected="1" workbookViewId="0">
      <selection activeCell="J15" sqref="J15"/>
    </sheetView>
  </sheetViews>
  <sheetFormatPr defaultRowHeight="15" x14ac:dyDescent="0.25"/>
  <cols>
    <col min="1" max="1" width="8.7109375" style="1" customWidth="1"/>
    <col min="2" max="2" width="9" style="1" customWidth="1"/>
    <col min="3" max="3" width="15.85546875" style="1" customWidth="1"/>
    <col min="4" max="4" width="8.28515625" style="1" customWidth="1"/>
    <col min="5" max="5" width="14.42578125" style="1" customWidth="1"/>
    <col min="6" max="6" width="8.28515625" style="1" customWidth="1"/>
    <col min="7" max="7" width="11.85546875" style="1" customWidth="1"/>
    <col min="8" max="15" width="7.7109375" style="1" customWidth="1"/>
    <col min="16" max="16" width="13.140625" style="1" customWidth="1"/>
    <col min="17" max="17" width="9.140625" style="1" customWidth="1"/>
    <col min="18" max="18" width="13.140625" style="1" customWidth="1"/>
    <col min="19" max="19" width="10" style="1" customWidth="1"/>
    <col min="20" max="20" width="13.140625" style="1" customWidth="1"/>
    <col min="21" max="21" width="10.42578125" style="1" customWidth="1"/>
    <col min="22" max="22" width="13.140625" style="1" customWidth="1"/>
    <col min="23" max="23" width="10" style="1" customWidth="1"/>
    <col min="24" max="16384" width="9.140625" style="1"/>
  </cols>
  <sheetData>
    <row r="1" spans="1:23" ht="33" x14ac:dyDescent="0.9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4" spans="1:23" ht="33" x14ac:dyDescent="0.9">
      <c r="A4" s="20" t="s">
        <v>16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spans="1:23" ht="8.25" customHeight="1" x14ac:dyDescent="0.25"/>
    <row r="6" spans="1:23" ht="16.5" x14ac:dyDescent="0.25">
      <c r="A6" s="26" t="s">
        <v>2</v>
      </c>
      <c r="B6" s="26"/>
      <c r="C6" s="26"/>
      <c r="D6" s="26"/>
      <c r="E6" s="26"/>
      <c r="F6" s="26"/>
      <c r="G6" s="26"/>
      <c r="H6" s="27" t="s">
        <v>17</v>
      </c>
      <c r="I6" s="24"/>
      <c r="J6" s="24"/>
      <c r="K6" s="24"/>
      <c r="L6" s="24"/>
      <c r="M6" s="24"/>
      <c r="N6" s="24"/>
      <c r="O6" s="25"/>
      <c r="P6" s="24" t="s">
        <v>18</v>
      </c>
      <c r="Q6" s="24"/>
      <c r="R6" s="24"/>
      <c r="S6" s="24"/>
      <c r="T6" s="24"/>
      <c r="U6" s="24"/>
      <c r="V6" s="24"/>
      <c r="W6" s="25"/>
    </row>
    <row r="7" spans="1:23" s="7" customFormat="1" ht="16.5" x14ac:dyDescent="0.25">
      <c r="A7" s="19" t="s">
        <v>3</v>
      </c>
      <c r="B7" s="19" t="s">
        <v>4</v>
      </c>
      <c r="C7" s="19" t="s">
        <v>5</v>
      </c>
      <c r="D7" s="23" t="s">
        <v>12</v>
      </c>
      <c r="E7" s="23"/>
      <c r="F7" s="23" t="s">
        <v>13</v>
      </c>
      <c r="G7" s="23"/>
      <c r="H7" s="23" t="s">
        <v>6</v>
      </c>
      <c r="I7" s="23"/>
      <c r="J7" s="23" t="s">
        <v>8</v>
      </c>
      <c r="K7" s="23"/>
      <c r="L7" s="23" t="s">
        <v>9</v>
      </c>
      <c r="M7" s="23"/>
      <c r="N7" s="23" t="s">
        <v>7</v>
      </c>
      <c r="O7" s="23"/>
      <c r="P7" s="23" t="s">
        <v>6</v>
      </c>
      <c r="Q7" s="23"/>
      <c r="R7" s="23" t="s">
        <v>8</v>
      </c>
      <c r="S7" s="23"/>
      <c r="T7" s="23" t="s">
        <v>9</v>
      </c>
      <c r="U7" s="23"/>
      <c r="V7" s="23" t="s">
        <v>7</v>
      </c>
      <c r="W7" s="23"/>
    </row>
    <row r="8" spans="1:23" s="8" customFormat="1" ht="18" customHeight="1" x14ac:dyDescent="0.25">
      <c r="A8" s="19"/>
      <c r="B8" s="19"/>
      <c r="C8" s="19"/>
      <c r="D8" s="6" t="s">
        <v>14</v>
      </c>
      <c r="E8" s="6" t="s">
        <v>15</v>
      </c>
      <c r="F8" s="18" t="s">
        <v>14</v>
      </c>
      <c r="G8" s="18" t="s">
        <v>15</v>
      </c>
      <c r="H8" s="6" t="s">
        <v>10</v>
      </c>
      <c r="I8" s="6" t="s">
        <v>11</v>
      </c>
      <c r="J8" s="6" t="s">
        <v>10</v>
      </c>
      <c r="K8" s="6" t="s">
        <v>11</v>
      </c>
      <c r="L8" s="6" t="s">
        <v>10</v>
      </c>
      <c r="M8" s="6" t="s">
        <v>11</v>
      </c>
      <c r="N8" s="6" t="s">
        <v>10</v>
      </c>
      <c r="O8" s="6" t="s">
        <v>11</v>
      </c>
      <c r="P8" s="6" t="s">
        <v>10</v>
      </c>
      <c r="Q8" s="6" t="s">
        <v>11</v>
      </c>
      <c r="R8" s="6" t="s">
        <v>10</v>
      </c>
      <c r="S8" s="6" t="s">
        <v>11</v>
      </c>
      <c r="T8" s="6" t="s">
        <v>10</v>
      </c>
      <c r="U8" s="6" t="s">
        <v>11</v>
      </c>
      <c r="V8" s="6" t="s">
        <v>10</v>
      </c>
      <c r="W8" s="6" t="s">
        <v>11</v>
      </c>
    </row>
    <row r="9" spans="1:23" ht="21.95" customHeight="1" x14ac:dyDescent="0.25">
      <c r="A9" s="9"/>
      <c r="B9" s="2"/>
      <c r="C9" s="3"/>
      <c r="D9" s="13">
        <f>SUM(H9,J9,L9,N9)</f>
        <v>0</v>
      </c>
      <c r="E9" s="13">
        <f>SUM(P9,R9,T9,V9)</f>
        <v>500000000</v>
      </c>
      <c r="F9" s="13">
        <f>SUM(I9,K9,M9)</f>
        <v>0</v>
      </c>
      <c r="G9" s="13">
        <f>SUM(Q9,S9,U9,W9)</f>
        <v>2088888</v>
      </c>
      <c r="H9" s="13"/>
      <c r="I9" s="13"/>
      <c r="J9" s="13"/>
      <c r="K9" s="13"/>
      <c r="L9" s="13"/>
      <c r="M9" s="13"/>
      <c r="N9" s="13"/>
      <c r="O9" s="13"/>
      <c r="P9" s="13">
        <v>500000000</v>
      </c>
      <c r="Q9" s="13"/>
      <c r="R9" s="14"/>
      <c r="S9" s="13"/>
      <c r="T9" s="13"/>
      <c r="U9" s="13">
        <v>2088888</v>
      </c>
      <c r="V9" s="13"/>
      <c r="W9" s="13"/>
    </row>
    <row r="10" spans="1:23" ht="21.95" customHeight="1" x14ac:dyDescent="0.25">
      <c r="A10" s="9"/>
      <c r="B10" s="2"/>
      <c r="C10" s="3"/>
      <c r="D10" s="13">
        <f t="shared" ref="D10:D11" si="0">SUM(H10,J10,L10,N10)</f>
        <v>0</v>
      </c>
      <c r="E10" s="13">
        <f t="shared" ref="E10:E11" si="1">SUM(P10,R10,T10,V10)</f>
        <v>0</v>
      </c>
      <c r="F10" s="13">
        <f t="shared" ref="F10:F11" si="2">SUM(I10,K10,M10)</f>
        <v>0</v>
      </c>
      <c r="G10" s="13">
        <f t="shared" ref="G10:G11" si="3">SUM(Q10,S10,U10,W10)</f>
        <v>0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4"/>
      <c r="S10" s="13"/>
      <c r="T10" s="13"/>
      <c r="U10" s="13"/>
      <c r="V10" s="13"/>
      <c r="W10" s="13"/>
    </row>
    <row r="11" spans="1:23" ht="21.95" customHeight="1" thickBot="1" x14ac:dyDescent="0.3">
      <c r="A11" s="10"/>
      <c r="B11" s="4"/>
      <c r="C11" s="5"/>
      <c r="D11" s="13">
        <f t="shared" si="0"/>
        <v>0</v>
      </c>
      <c r="E11" s="13">
        <f t="shared" si="1"/>
        <v>0</v>
      </c>
      <c r="F11" s="13">
        <f t="shared" si="2"/>
        <v>0</v>
      </c>
      <c r="G11" s="13">
        <f t="shared" si="3"/>
        <v>0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6"/>
      <c r="S11" s="15"/>
      <c r="T11" s="15"/>
      <c r="U11" s="15"/>
      <c r="V11" s="15"/>
      <c r="W11" s="15"/>
    </row>
    <row r="12" spans="1:23" ht="22.5" thickTop="1" x14ac:dyDescent="0.4">
      <c r="A12" s="11"/>
      <c r="B12" s="11"/>
      <c r="C12" s="12">
        <f>SUBTOTAL(103,Sheet1!$C$9:$C$11)</f>
        <v>0</v>
      </c>
      <c r="D12" s="17">
        <f>SUM(D9:D11)</f>
        <v>0</v>
      </c>
      <c r="E12" s="17">
        <f>SUM(E9:E11)</f>
        <v>500000000</v>
      </c>
      <c r="F12" s="17">
        <f t="shared" ref="F12:W12" si="4">SUM(F9:F11)</f>
        <v>0</v>
      </c>
      <c r="G12" s="17">
        <f t="shared" si="4"/>
        <v>2088888</v>
      </c>
      <c r="H12" s="17">
        <f t="shared" si="4"/>
        <v>0</v>
      </c>
      <c r="I12" s="17">
        <f t="shared" si="4"/>
        <v>0</v>
      </c>
      <c r="J12" s="17">
        <f t="shared" si="4"/>
        <v>0</v>
      </c>
      <c r="K12" s="17">
        <f t="shared" si="4"/>
        <v>0</v>
      </c>
      <c r="L12" s="17">
        <f t="shared" si="4"/>
        <v>0</v>
      </c>
      <c r="M12" s="17">
        <f t="shared" si="4"/>
        <v>0</v>
      </c>
      <c r="N12" s="17">
        <f t="shared" si="4"/>
        <v>0</v>
      </c>
      <c r="O12" s="17">
        <f t="shared" si="4"/>
        <v>0</v>
      </c>
      <c r="P12" s="17">
        <f t="shared" si="4"/>
        <v>500000000</v>
      </c>
      <c r="Q12" s="17">
        <f t="shared" si="4"/>
        <v>0</v>
      </c>
      <c r="R12" s="17">
        <f t="shared" si="4"/>
        <v>0</v>
      </c>
      <c r="S12" s="17">
        <f t="shared" si="4"/>
        <v>0</v>
      </c>
      <c r="T12" s="17">
        <f t="shared" si="4"/>
        <v>0</v>
      </c>
      <c r="U12" s="17">
        <f t="shared" si="4"/>
        <v>2088888</v>
      </c>
      <c r="V12" s="17">
        <f t="shared" si="4"/>
        <v>0</v>
      </c>
      <c r="W12" s="17">
        <f t="shared" si="4"/>
        <v>0</v>
      </c>
    </row>
  </sheetData>
  <mergeCells count="19">
    <mergeCell ref="P7:Q7"/>
    <mergeCell ref="R7:S7"/>
    <mergeCell ref="D7:E7"/>
    <mergeCell ref="A7:A8"/>
    <mergeCell ref="B7:B8"/>
    <mergeCell ref="C7:C8"/>
    <mergeCell ref="A4:W4"/>
    <mergeCell ref="A1:W1"/>
    <mergeCell ref="A2:W2"/>
    <mergeCell ref="T7:U7"/>
    <mergeCell ref="V7:W7"/>
    <mergeCell ref="P6:W6"/>
    <mergeCell ref="A6:G6"/>
    <mergeCell ref="F7:G7"/>
    <mergeCell ref="H7:I7"/>
    <mergeCell ref="J7:K7"/>
    <mergeCell ref="L7:M7"/>
    <mergeCell ref="N7:O7"/>
    <mergeCell ref="H6:O6"/>
  </mergeCells>
  <pageMargins left="0.45" right="0.26" top="0.46" bottom="0.75" header="0.3" footer="0.3"/>
  <pageSetup paperSize="9" scale="6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Monyroth Sary</cp:lastModifiedBy>
  <cp:lastPrinted>2017-12-26T04:14:57Z</cp:lastPrinted>
  <dcterms:created xsi:type="dcterms:W3CDTF">2017-12-19T10:08:47Z</dcterms:created>
  <dcterms:modified xsi:type="dcterms:W3CDTF">2018-01-17T00:55:30Z</dcterms:modified>
</cp:coreProperties>
</file>