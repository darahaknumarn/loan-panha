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New Project\M004\KTV\bin\Debug\Sample\"/>
    </mc:Choice>
  </mc:AlternateContent>
  <bookViews>
    <workbookView xWindow="0" yWindow="0" windowWidth="20496" windowHeight="77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" l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F10" i="1"/>
  <c r="F11" i="1"/>
  <c r="F9" i="1"/>
  <c r="F12" i="1" s="1"/>
  <c r="E10" i="1"/>
  <c r="E11" i="1"/>
  <c r="E9" i="1"/>
  <c r="D10" i="1"/>
  <c r="D11" i="1"/>
  <c r="D9" i="1"/>
  <c r="C10" i="1"/>
  <c r="C11" i="1"/>
  <c r="C9" i="1"/>
  <c r="D12" i="1" l="1"/>
  <c r="C12" i="1"/>
  <c r="E12" i="1"/>
  <c r="B12" i="1"/>
</calcChain>
</file>

<file path=xl/sharedStrings.xml><?xml version="1.0" encoding="utf-8"?>
<sst xmlns="http://schemas.openxmlformats.org/spreadsheetml/2006/main" count="38" uniqueCount="18">
  <si>
    <t>ក្រុមហ៊ុន មរកត អ៊ែកធីវ ឃែភីថល ឯ.ក</t>
  </si>
  <si>
    <t>MOROKOT ACTIVE CAPITAL CO.,LTD</t>
  </si>
  <si>
    <t xml:space="preserve">Date: </t>
  </si>
  <si>
    <t>កូដសាខា</t>
  </si>
  <si>
    <t>ឥណទានថ្ងៃ</t>
  </si>
  <si>
    <t>ឥណទានខែ</t>
  </si>
  <si>
    <t>សប្ដាហ៍</t>
  </si>
  <si>
    <t>ពីរសប្ដាហ៍</t>
  </si>
  <si>
    <t>រៀល</t>
  </si>
  <si>
    <t>ដុល្លារ</t>
  </si>
  <si>
    <t>សរុបជាប្រាក់រៀល</t>
  </si>
  <si>
    <t>សរុបជាប្រាក់ដុល្លារ</t>
  </si>
  <si>
    <t>អតិថិនជន</t>
  </si>
  <si>
    <t>ទឹកប្រាក់</t>
  </si>
  <si>
    <t>ចំនួនយឺត</t>
  </si>
  <si>
    <t>ចំនួនទឹកប្រាក់យឺត</t>
  </si>
  <si>
    <t>របាយការណ៍សង្ខេបស្ដីពីចំនួនអតិថិជន និងទឹកប្រាក់យឺតតាមការិយាល័យ</t>
  </si>
  <si>
    <t>ឈ្មោះការិយាល័យ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</si>
</sst>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0#"/>
    <numFmt numFmtId="165" formatCode="000#"/>
    <numFmt numFmtId="166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6"/>
      <color rgb="FF002060"/>
      <name val="Kh KoulenL"/>
    </font>
    <font>
      <sz val="11"/>
      <color rgb="FF002060"/>
      <name val="Calibri"/>
      <family val="2"/>
      <scheme val="minor"/>
    </font>
    <font>
      <sz val="8"/>
      <color rgb="FF002060"/>
      <name val="Khmer OS"/>
    </font>
    <font>
      <b/>
      <sz val="8"/>
      <color rgb="FF002060"/>
      <name val="Kh Content"/>
    </font>
    <font>
      <b/>
      <sz val="8"/>
      <color rgb="FF002060"/>
      <name val="Khmer OS"/>
    </font>
    <font>
      <b/>
      <sz val="8"/>
      <color rgb="FF002060"/>
      <name val="Khmer Kep"/>
    </font>
    <font>
      <sz val="16"/>
      <color rgb="FFC00000"/>
      <name val="Kh KoulenL"/>
    </font>
    <font>
      <b/>
      <sz val="11"/>
      <color rgb="FFC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double">
        <color rgb="FF002060"/>
      </top>
      <bottom style="thin">
        <color rgb="FF00206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4" fillId="0" borderId="0" xfId="0" applyFont="1"/>
    <xf numFmtId="164" fontId="5" fillId="3" borderId="1" xfId="0" applyNumberFormat="1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165" fontId="7" fillId="0" borderId="7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166" fontId="5" fillId="3" borderId="1" xfId="1" applyNumberFormat="1" applyFont="1" applyFill="1" applyBorder="1" applyAlignment="1">
      <alignment vertical="center"/>
    </xf>
    <xf numFmtId="166" fontId="5" fillId="3" borderId="1" xfId="1" applyNumberFormat="1" applyFont="1" applyFill="1" applyBorder="1" applyAlignment="1">
      <alignment horizontal="center" vertical="center"/>
    </xf>
    <xf numFmtId="166" fontId="5" fillId="3" borderId="5" xfId="1" applyNumberFormat="1" applyFont="1" applyFill="1" applyBorder="1" applyAlignment="1">
      <alignment vertical="center"/>
    </xf>
    <xf numFmtId="166" fontId="5" fillId="3" borderId="5" xfId="1" applyNumberFormat="1" applyFont="1" applyFill="1" applyBorder="1" applyAlignment="1">
      <alignment horizontal="center" vertical="center"/>
    </xf>
    <xf numFmtId="166" fontId="8" fillId="0" borderId="7" xfId="1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4" borderId="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451897</xdr:colOff>
      <xdr:row>0</xdr:row>
      <xdr:rowOff>0</xdr:rowOff>
    </xdr:from>
    <xdr:to>
      <xdr:col>7</xdr:col>
      <xdr:colOff>319628</xdr:colOff>
      <xdr:row>2</xdr:row>
      <xdr:rowOff>87630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4747" y="0"/>
          <a:ext cx="1725106" cy="6972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2"/>
  <sheetViews>
    <sheetView tabSelected="1" workbookViewId="0">
      <selection activeCell="G16" sqref="G16"/>
    </sheetView>
  </sheetViews>
  <sheetFormatPr defaultColWidth="9.109375" defaultRowHeight="14.4" x14ac:dyDescent="0.3"/>
  <cols>
    <col min="1" max="1" width="8.6640625" style="1" customWidth="1"/>
    <col min="2" max="2" width="15.88671875" style="1" customWidth="1"/>
    <col min="3" max="3" width="8.33203125" style="1" customWidth="1"/>
    <col min="4" max="4" width="14.44140625" style="1" customWidth="1"/>
    <col min="5" max="5" width="8.33203125" style="1" customWidth="1"/>
    <col min="6" max="6" width="11.88671875" style="1" customWidth="1"/>
    <col min="7" max="14" width="7.6640625" style="1" customWidth="1"/>
    <col min="15" max="15" width="13.109375" style="1" customWidth="1"/>
    <col min="16" max="16" width="9.109375" style="1" customWidth="1"/>
    <col min="17" max="17" width="13.109375" style="1" customWidth="1"/>
    <col min="18" max="18" width="10" style="1" customWidth="1"/>
    <col min="19" max="19" width="13.109375" style="1" customWidth="1"/>
    <col min="20" max="20" width="10.44140625" style="1" customWidth="1"/>
    <col min="21" max="21" width="13.109375" style="1" customWidth="1"/>
    <col min="22" max="22" width="10" style="1" customWidth="1"/>
    <col min="23" max="16384" width="9.109375" style="1"/>
  </cols>
  <sheetData>
    <row r="1" spans="1:22" ht="34.799999999999997" x14ac:dyDescent="1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spans="1:22" x14ac:dyDescent="0.3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</row>
    <row r="4" spans="1:22" ht="34.799999999999997" x14ac:dyDescent="1.2">
      <c r="A4" s="19" t="s">
        <v>16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spans="1:22" ht="8.25" customHeight="1" x14ac:dyDescent="0.3"/>
    <row r="6" spans="1:22" ht="16.8" x14ac:dyDescent="0.3">
      <c r="A6" s="24" t="s">
        <v>2</v>
      </c>
      <c r="B6" s="24"/>
      <c r="C6" s="24"/>
      <c r="D6" s="24"/>
      <c r="E6" s="24"/>
      <c r="F6" s="24"/>
      <c r="G6" s="25" t="s">
        <v>14</v>
      </c>
      <c r="H6" s="22"/>
      <c r="I6" s="22"/>
      <c r="J6" s="22"/>
      <c r="K6" s="22"/>
      <c r="L6" s="22"/>
      <c r="M6" s="22"/>
      <c r="N6" s="23"/>
      <c r="O6" s="22" t="s">
        <v>15</v>
      </c>
      <c r="P6" s="22"/>
      <c r="Q6" s="22"/>
      <c r="R6" s="22"/>
      <c r="S6" s="22"/>
      <c r="T6" s="22"/>
      <c r="U6" s="22"/>
      <c r="V6" s="23"/>
    </row>
    <row r="7" spans="1:22" s="5" customFormat="1" ht="16.8" x14ac:dyDescent="0.3">
      <c r="A7" s="18" t="s">
        <v>3</v>
      </c>
      <c r="B7" s="18" t="s">
        <v>17</v>
      </c>
      <c r="C7" s="17" t="s">
        <v>10</v>
      </c>
      <c r="D7" s="17"/>
      <c r="E7" s="17" t="s">
        <v>11</v>
      </c>
      <c r="F7" s="17"/>
      <c r="G7" s="17" t="s">
        <v>4</v>
      </c>
      <c r="H7" s="17"/>
      <c r="I7" s="17" t="s">
        <v>6</v>
      </c>
      <c r="J7" s="17"/>
      <c r="K7" s="17" t="s">
        <v>7</v>
      </c>
      <c r="L7" s="17"/>
      <c r="M7" s="17" t="s">
        <v>5</v>
      </c>
      <c r="N7" s="17"/>
      <c r="O7" s="17" t="s">
        <v>4</v>
      </c>
      <c r="P7" s="17"/>
      <c r="Q7" s="17" t="s">
        <v>6</v>
      </c>
      <c r="R7" s="17"/>
      <c r="S7" s="17" t="s">
        <v>7</v>
      </c>
      <c r="T7" s="17"/>
      <c r="U7" s="17" t="s">
        <v>5</v>
      </c>
      <c r="V7" s="17"/>
    </row>
    <row r="8" spans="1:22" s="6" customFormat="1" ht="18" customHeight="1" x14ac:dyDescent="0.3">
      <c r="A8" s="18"/>
      <c r="B8" s="18"/>
      <c r="C8" s="4" t="s">
        <v>12</v>
      </c>
      <c r="D8" s="4" t="s">
        <v>13</v>
      </c>
      <c r="E8" s="16" t="s">
        <v>12</v>
      </c>
      <c r="F8" s="16" t="s">
        <v>13</v>
      </c>
      <c r="G8" s="4" t="s">
        <v>8</v>
      </c>
      <c r="H8" s="4" t="s">
        <v>9</v>
      </c>
      <c r="I8" s="4" t="s">
        <v>8</v>
      </c>
      <c r="J8" s="4" t="s">
        <v>9</v>
      </c>
      <c r="K8" s="4" t="s">
        <v>8</v>
      </c>
      <c r="L8" s="4" t="s">
        <v>9</v>
      </c>
      <c r="M8" s="4" t="s">
        <v>8</v>
      </c>
      <c r="N8" s="4" t="s">
        <v>9</v>
      </c>
      <c r="O8" s="4" t="s">
        <v>8</v>
      </c>
      <c r="P8" s="4" t="s">
        <v>9</v>
      </c>
      <c r="Q8" s="4" t="s">
        <v>8</v>
      </c>
      <c r="R8" s="4" t="s">
        <v>9</v>
      </c>
      <c r="S8" s="4" t="s">
        <v>8</v>
      </c>
      <c r="T8" s="4" t="s">
        <v>9</v>
      </c>
      <c r="U8" s="4" t="s">
        <v>8</v>
      </c>
      <c r="V8" s="4" t="s">
        <v>9</v>
      </c>
    </row>
    <row r="9" spans="1:22" ht="21.9" customHeight="1" x14ac:dyDescent="0.3">
      <c r="A9" s="7"/>
      <c r="B9" s="2"/>
      <c r="C9" s="11">
        <f>SUM(G9,I9,K9,M9)</f>
        <v>0</v>
      </c>
      <c r="D9" s="11">
        <f>SUM(O9,Q9,S9,U9)</f>
        <v>500000000</v>
      </c>
      <c r="E9" s="11">
        <f>SUM(H9,J9,L9)</f>
        <v>0</v>
      </c>
      <c r="F9" s="11">
        <f>SUM(P9,R9,T9,V9)</f>
        <v>2088888</v>
      </c>
      <c r="G9" s="11"/>
      <c r="H9" s="11"/>
      <c r="I9" s="11"/>
      <c r="J9" s="11"/>
      <c r="K9" s="11"/>
      <c r="L9" s="11"/>
      <c r="M9" s="11"/>
      <c r="N9" s="11"/>
      <c r="O9" s="11">
        <v>500000000</v>
      </c>
      <c r="P9" s="11"/>
      <c r="Q9" s="12"/>
      <c r="R9" s="11"/>
      <c r="S9" s="11"/>
      <c r="T9" s="11">
        <v>2088888</v>
      </c>
      <c r="U9" s="11"/>
      <c r="V9" s="11"/>
    </row>
    <row r="10" spans="1:22" ht="21.9" customHeight="1" x14ac:dyDescent="0.3">
      <c r="A10" s="7"/>
      <c r="B10" s="2"/>
      <c r="C10" s="11">
        <f t="shared" ref="C10:C11" si="0">SUM(G10,I10,K10,M10)</f>
        <v>0</v>
      </c>
      <c r="D10" s="11">
        <f t="shared" ref="D10:D11" si="1">SUM(O10,Q10,S10,U10)</f>
        <v>0</v>
      </c>
      <c r="E10" s="11">
        <f t="shared" ref="E10:E11" si="2">SUM(H10,J10,L10)</f>
        <v>0</v>
      </c>
      <c r="F10" s="11">
        <f t="shared" ref="F10:F11" si="3">SUM(P10,R10,T10,V10)</f>
        <v>0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1"/>
      <c r="S10" s="11"/>
      <c r="T10" s="11"/>
      <c r="U10" s="11"/>
      <c r="V10" s="11"/>
    </row>
    <row r="11" spans="1:22" ht="21.9" customHeight="1" thickBot="1" x14ac:dyDescent="0.35">
      <c r="A11" s="8"/>
      <c r="B11" s="3"/>
      <c r="C11" s="11">
        <f t="shared" si="0"/>
        <v>0</v>
      </c>
      <c r="D11" s="11">
        <f t="shared" si="1"/>
        <v>0</v>
      </c>
      <c r="E11" s="11">
        <f t="shared" si="2"/>
        <v>0</v>
      </c>
      <c r="F11" s="11">
        <f t="shared" si="3"/>
        <v>0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4"/>
      <c r="R11" s="13"/>
      <c r="S11" s="13"/>
      <c r="T11" s="13"/>
      <c r="U11" s="13"/>
      <c r="V11" s="13"/>
    </row>
    <row r="12" spans="1:22" ht="21" thickTop="1" x14ac:dyDescent="0.45">
      <c r="A12" s="9"/>
      <c r="B12" s="10">
        <f>SUBTOTAL(103,Sheet1!$B$9:$B$11)</f>
        <v>0</v>
      </c>
      <c r="C12" s="15">
        <f>SUM(C9:C11)</f>
        <v>0</v>
      </c>
      <c r="D12" s="15">
        <f>SUM(D9:D11)</f>
        <v>500000000</v>
      </c>
      <c r="E12" s="15">
        <f t="shared" ref="E12:V12" si="4">SUM(E9:E11)</f>
        <v>0</v>
      </c>
      <c r="F12" s="15">
        <f t="shared" si="4"/>
        <v>2088888</v>
      </c>
      <c r="G12" s="15">
        <f t="shared" si="4"/>
        <v>0</v>
      </c>
      <c r="H12" s="15">
        <f t="shared" si="4"/>
        <v>0</v>
      </c>
      <c r="I12" s="15">
        <f t="shared" si="4"/>
        <v>0</v>
      </c>
      <c r="J12" s="15">
        <f t="shared" si="4"/>
        <v>0</v>
      </c>
      <c r="K12" s="15">
        <f t="shared" si="4"/>
        <v>0</v>
      </c>
      <c r="L12" s="15">
        <f t="shared" si="4"/>
        <v>0</v>
      </c>
      <c r="M12" s="15">
        <f t="shared" si="4"/>
        <v>0</v>
      </c>
      <c r="N12" s="15">
        <f t="shared" si="4"/>
        <v>0</v>
      </c>
      <c r="O12" s="15">
        <f t="shared" si="4"/>
        <v>500000000</v>
      </c>
      <c r="P12" s="15">
        <f t="shared" si="4"/>
        <v>0</v>
      </c>
      <c r="Q12" s="15">
        <f t="shared" si="4"/>
        <v>0</v>
      </c>
      <c r="R12" s="15">
        <f t="shared" si="4"/>
        <v>0</v>
      </c>
      <c r="S12" s="15">
        <f t="shared" si="4"/>
        <v>0</v>
      </c>
      <c r="T12" s="15">
        <f t="shared" si="4"/>
        <v>2088888</v>
      </c>
      <c r="U12" s="15">
        <f t="shared" si="4"/>
        <v>0</v>
      </c>
      <c r="V12" s="15">
        <f t="shared" si="4"/>
        <v>0</v>
      </c>
    </row>
  </sheetData>
  <mergeCells count="18">
    <mergeCell ref="A4:V4"/>
    <mergeCell ref="A1:V1"/>
    <mergeCell ref="A2:V2"/>
    <mergeCell ref="S7:T7"/>
    <mergeCell ref="U7:V7"/>
    <mergeCell ref="O6:V6"/>
    <mergeCell ref="A6:F6"/>
    <mergeCell ref="E7:F7"/>
    <mergeCell ref="G7:H7"/>
    <mergeCell ref="I7:J7"/>
    <mergeCell ref="K7:L7"/>
    <mergeCell ref="M7:N7"/>
    <mergeCell ref="G6:N6"/>
    <mergeCell ref="O7:P7"/>
    <mergeCell ref="Q7:R7"/>
    <mergeCell ref="C7:D7"/>
    <mergeCell ref="A7:A8"/>
    <mergeCell ref="B7:B8"/>
  </mergeCells>
  <pageMargins left="0.45" right="0.26" top="0.46" bottom="0.75" header="0.3" footer="0.3"/>
  <pageSetup paperSize="9" scale="6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Dell</cp:lastModifiedBy>
  <cp:lastPrinted>2017-12-26T04:14:57Z</cp:lastPrinted>
  <dcterms:created xsi:type="dcterms:W3CDTF">2017-12-19T10:08:47Z</dcterms:created>
  <dcterms:modified xsi:type="dcterms:W3CDTF">2019-06-24T00:49:31Z</dcterms:modified>
</cp:coreProperties>
</file>