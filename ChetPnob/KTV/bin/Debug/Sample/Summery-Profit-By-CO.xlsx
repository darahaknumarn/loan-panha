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IT\Debug\Sample\"/>
    </mc:Choice>
  </mc:AlternateContent>
  <xr:revisionPtr revIDLastSave="0" documentId="13_ncr:1_{C250717A-41DD-416C-B1D5-9596BF813098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" i="1" l="1"/>
  <c r="X8" i="1"/>
  <c r="F11" i="1" l="1"/>
  <c r="G11" i="1"/>
  <c r="Y9" i="1" l="1"/>
  <c r="Y10" i="1"/>
  <c r="X9" i="1"/>
  <c r="Z9" i="1" s="1"/>
  <c r="X10" i="1"/>
  <c r="Z8" i="1"/>
  <c r="Z10" i="1" l="1"/>
  <c r="E11" i="1"/>
  <c r="H11" i="1"/>
  <c r="I11" i="1"/>
  <c r="J11" i="1"/>
  <c r="K11" i="1"/>
  <c r="L11" i="1"/>
  <c r="M11" i="1"/>
  <c r="N11" i="1"/>
  <c r="O11" i="1"/>
  <c r="P11" i="1"/>
  <c r="Q11" i="1"/>
  <c r="R11" i="1"/>
  <c r="S11" i="1"/>
  <c r="V11" i="1"/>
  <c r="X11" i="1" s="1"/>
  <c r="W11" i="1"/>
  <c r="Y11" i="1" s="1"/>
  <c r="D11" i="1"/>
  <c r="Z11" i="1" l="1"/>
  <c r="C11" i="1"/>
</calcChain>
</file>

<file path=xl/sharedStrings.xml><?xml version="1.0" encoding="utf-8"?>
<sst xmlns="http://schemas.openxmlformats.org/spreadsheetml/2006/main" count="43" uniqueCount="42">
  <si>
    <t>ក្រុមហ៊ុន មរកត អ៊ែកធីវ ឃែភីថល ឯ.ក</t>
  </si>
  <si>
    <t>MOROKOT ACTIVE CAPITAL CO.,LTD</t>
  </si>
  <si>
    <t xml:space="preserve">Date: </t>
  </si>
  <si>
    <t>របាយការណ៍សង្ខេបស្ដីពីប្រាក់ចំណេញតាមមន្ដ្រីឥណទាន</t>
  </si>
  <si>
    <t>LR_BrID</t>
  </si>
  <si>
    <t>EM_ID</t>
  </si>
  <si>
    <t>EM_Name</t>
  </si>
  <si>
    <t>LR_Amt_KHR</t>
  </si>
  <si>
    <t>LR_Amt_USD</t>
  </si>
  <si>
    <t>Prn_KHR</t>
  </si>
  <si>
    <t>Prn_USD</t>
  </si>
  <si>
    <t>Int_KHR</t>
  </si>
  <si>
    <t>Int_USD</t>
  </si>
  <si>
    <t>Service_KHR</t>
  </si>
  <si>
    <t>Service_USD</t>
  </si>
  <si>
    <t>Charge_KHR</t>
  </si>
  <si>
    <t>Charge_USD</t>
  </si>
  <si>
    <t>Total in KHR</t>
  </si>
  <si>
    <t>Total in USD</t>
  </si>
  <si>
    <t xml:space="preserve">USD </t>
  </si>
  <si>
    <t>TOTAL</t>
  </si>
  <si>
    <t>សេវារដ្ឋបាល</t>
  </si>
  <si>
    <t>KHR</t>
  </si>
  <si>
    <t>USD</t>
  </si>
  <si>
    <t>សេវាសង្រ្គោះ</t>
  </si>
  <si>
    <t>អតិថិជនប្រមូល</t>
  </si>
  <si>
    <t>ទឹកប្រាក់ប្រមូល</t>
  </si>
  <si>
    <t>ប្រាក់ដើម</t>
  </si>
  <si>
    <t>ការប្រាក់</t>
  </si>
  <si>
    <t>កម្រៃប្រតិបត្ដិការ</t>
  </si>
  <si>
    <t>ពិន័យ</t>
  </si>
  <si>
    <t>កម្រៃហិរញ្ញប្បទាន</t>
  </si>
  <si>
    <t>Re_KHR</t>
  </si>
  <si>
    <t>Re_USD</t>
  </si>
  <si>
    <t>ចំណូលសរុប</t>
  </si>
  <si>
    <t>In_KHR</t>
  </si>
  <si>
    <t>In_USD</t>
  </si>
  <si>
    <t>Ad_KHR</t>
  </si>
  <si>
    <t>Ad_USD</t>
  </si>
  <si>
    <t>បំណុលខ្មៅ</t>
  </si>
  <si>
    <t>Wrt_KHR</t>
  </si>
  <si>
    <t>Wrt_USD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</si>
</sst>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_(* #,##0_);_(* \(#,##0\);_(* &quot;-&quot;??_);_(@_)"/>
    <numFmt numFmtId="167" formatCode="000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sz val="10"/>
      <color rgb="FF002060"/>
      <name val="Khmer OS"/>
    </font>
    <font>
      <sz val="8"/>
      <color rgb="FF002060"/>
      <name val="Khmer OS"/>
    </font>
    <font>
      <b/>
      <sz val="8"/>
      <color rgb="FF002060"/>
      <name val="Kh Koulen"/>
    </font>
    <font>
      <sz val="8"/>
      <color rgb="FF002060"/>
      <name val="Times New Roman"/>
      <family val="1"/>
    </font>
    <font>
      <sz val="8"/>
      <color rgb="FF002060"/>
      <name val="Khmer Kep"/>
    </font>
    <font>
      <b/>
      <sz val="8"/>
      <color rgb="FF002060"/>
      <name val="Khmer OS"/>
    </font>
    <font>
      <b/>
      <sz val="8"/>
      <color rgb="FF002060"/>
      <name val="Times New Roman"/>
      <family val="1"/>
    </font>
    <font>
      <sz val="16"/>
      <color rgb="FFC00000"/>
      <name val="Kh KoulenL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 style="thin">
        <color theme="5" tint="-0.24994659260841701"/>
      </left>
      <right/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/>
      <diagonal/>
    </border>
    <border>
      <left style="medium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4" fillId="0" borderId="0" xfId="0" applyFont="1" applyAlignment="1"/>
    <xf numFmtId="166" fontId="9" fillId="3" borderId="1" xfId="1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7" fillId="3" borderId="4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6" fontId="9" fillId="3" borderId="5" xfId="1" applyNumberFormat="1" applyFont="1" applyFill="1" applyBorder="1" applyAlignment="1">
      <alignment vertical="center"/>
    </xf>
    <xf numFmtId="165" fontId="6" fillId="0" borderId="6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166" fontId="12" fillId="0" borderId="7" xfId="1" applyNumberFormat="1" applyFont="1" applyBorder="1" applyAlignment="1">
      <alignment vertical="center"/>
    </xf>
    <xf numFmtId="166" fontId="8" fillId="4" borderId="3" xfId="1" applyNumberFormat="1" applyFont="1" applyFill="1" applyBorder="1" applyAlignment="1">
      <alignment horizontal="center" vertical="center" wrapText="1"/>
    </xf>
    <xf numFmtId="166" fontId="8" fillId="4" borderId="3" xfId="1" applyNumberFormat="1" applyFont="1" applyFill="1" applyBorder="1" applyAlignment="1">
      <alignment horizontal="center" wrapText="1"/>
    </xf>
    <xf numFmtId="166" fontId="8" fillId="4" borderId="3" xfId="1" applyNumberFormat="1" applyFont="1" applyFill="1" applyBorder="1" applyAlignment="1">
      <alignment horizontal="center" vertical="center"/>
    </xf>
    <xf numFmtId="166" fontId="8" fillId="4" borderId="8" xfId="1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/>
    </xf>
    <xf numFmtId="166" fontId="12" fillId="0" borderId="11" xfId="1" applyNumberFormat="1" applyFont="1" applyBorder="1" applyAlignment="1">
      <alignment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29633</xdr:rowOff>
    </xdr:from>
    <xdr:to>
      <xdr:col>9</xdr:col>
      <xdr:colOff>229658</xdr:colOff>
      <xdr:row>2</xdr:row>
      <xdr:rowOff>44513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4108" y="29633"/>
          <a:ext cx="1615016" cy="624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1"/>
  <sheetViews>
    <sheetView showGridLines="0" tabSelected="1" zoomScale="90" zoomScaleNormal="90" workbookViewId="0">
      <pane xSplit="3" ySplit="7" topLeftCell="I8" activePane="bottomRight" state="frozen"/>
      <selection pane="topRight" activeCell="D1" sqref="D1"/>
      <selection pane="bottomLeft" activeCell="A8" sqref="A8"/>
      <selection pane="bottomRight" activeCell="Y9" sqref="Y9"/>
    </sheetView>
  </sheetViews>
  <sheetFormatPr defaultColWidth="9.1171875" defaultRowHeight="14.35" x14ac:dyDescent="0.5"/>
  <cols>
    <col min="1" max="1" width="8.1171875" style="1" customWidth="1"/>
    <col min="2" max="2" width="8.5859375" style="1" customWidth="1"/>
    <col min="3" max="3" width="14" style="1" customWidth="1"/>
    <col min="4" max="4" width="11.234375" style="1" customWidth="1"/>
    <col min="5" max="5" width="6.9375" style="1" customWidth="1"/>
    <col min="6" max="6" width="10.41015625" style="1" customWidth="1"/>
    <col min="7" max="7" width="7.05859375" style="1" customWidth="1"/>
    <col min="8" max="8" width="11.9375" style="1" customWidth="1"/>
    <col min="9" max="9" width="9.29296875" style="1" customWidth="1"/>
    <col min="10" max="11" width="8.8203125" style="1" customWidth="1"/>
    <col min="12" max="12" width="12.17578125" style="1" customWidth="1"/>
    <col min="13" max="13" width="8.41015625" style="1" customWidth="1"/>
    <col min="14" max="14" width="11.41015625" style="1" customWidth="1"/>
    <col min="15" max="15" width="9.8203125" style="1" customWidth="1"/>
    <col min="16" max="16" width="11.3515625" style="1" customWidth="1"/>
    <col min="17" max="17" width="8.17578125" style="1" customWidth="1"/>
    <col min="18" max="18" width="11.3515625" style="1" customWidth="1"/>
    <col min="19" max="19" width="8.5859375" style="1" customWidth="1"/>
    <col min="20" max="20" width="11.52734375" style="1" customWidth="1"/>
    <col min="21" max="21" width="8.5859375" style="1" customWidth="1"/>
    <col min="22" max="22" width="10.8203125" style="1" customWidth="1"/>
    <col min="23" max="23" width="9.703125" style="1" bestFit="1" customWidth="1"/>
    <col min="24" max="24" width="11.9375" style="1" customWidth="1"/>
    <col min="25" max="25" width="8.5859375" style="1" customWidth="1"/>
    <col min="26" max="26" width="11.8203125" style="1" customWidth="1"/>
    <col min="27" max="16384" width="9.1171875" style="1"/>
  </cols>
  <sheetData>
    <row r="1" spans="1:26" ht="33.700000000000003" x14ac:dyDescent="2.049999999999999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6" x14ac:dyDescent="0.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4" spans="1:26" ht="33.700000000000003" x14ac:dyDescent="2.0499999999999998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6" ht="8.25" customHeight="1" thickBot="1" x14ac:dyDescent="0.55000000000000004"/>
    <row r="6" spans="1:26" ht="17.350000000000001" thickBot="1" x14ac:dyDescent="0.55000000000000004">
      <c r="A6" s="4" t="s">
        <v>2</v>
      </c>
      <c r="B6" s="4"/>
      <c r="C6" s="4"/>
      <c r="D6" s="24" t="s">
        <v>21</v>
      </c>
      <c r="E6" s="24"/>
      <c r="F6" s="24" t="s">
        <v>31</v>
      </c>
      <c r="G6" s="24"/>
      <c r="H6" s="24" t="s">
        <v>24</v>
      </c>
      <c r="I6" s="24"/>
      <c r="J6" s="24" t="s">
        <v>25</v>
      </c>
      <c r="K6" s="24"/>
      <c r="L6" s="24" t="s">
        <v>26</v>
      </c>
      <c r="M6" s="24"/>
      <c r="N6" s="24" t="s">
        <v>27</v>
      </c>
      <c r="O6" s="24"/>
      <c r="P6" s="24" t="s">
        <v>28</v>
      </c>
      <c r="Q6" s="24"/>
      <c r="R6" s="24" t="s">
        <v>29</v>
      </c>
      <c r="S6" s="24"/>
      <c r="T6" s="25" t="s">
        <v>39</v>
      </c>
      <c r="U6" s="26"/>
      <c r="V6" s="24" t="s">
        <v>30</v>
      </c>
      <c r="W6" s="24"/>
      <c r="X6" s="24" t="s">
        <v>34</v>
      </c>
      <c r="Y6" s="24"/>
      <c r="Z6" s="19" t="s">
        <v>20</v>
      </c>
    </row>
    <row r="7" spans="1:26" s="2" customFormat="1" ht="17.350000000000001" customHeight="1" x14ac:dyDescent="1.05">
      <c r="A7" s="5" t="s">
        <v>4</v>
      </c>
      <c r="B7" s="6" t="s">
        <v>5</v>
      </c>
      <c r="C7" s="6" t="s">
        <v>6</v>
      </c>
      <c r="D7" s="15" t="s">
        <v>37</v>
      </c>
      <c r="E7" s="15" t="s">
        <v>38</v>
      </c>
      <c r="F7" s="16" t="s">
        <v>32</v>
      </c>
      <c r="G7" s="16" t="s">
        <v>33</v>
      </c>
      <c r="H7" s="15" t="s">
        <v>35</v>
      </c>
      <c r="I7" s="15" t="s">
        <v>36</v>
      </c>
      <c r="J7" s="15" t="s">
        <v>22</v>
      </c>
      <c r="K7" s="15" t="s">
        <v>23</v>
      </c>
      <c r="L7" s="15" t="s">
        <v>7</v>
      </c>
      <c r="M7" s="16" t="s">
        <v>8</v>
      </c>
      <c r="N7" s="15" t="s">
        <v>9</v>
      </c>
      <c r="O7" s="15" t="s">
        <v>10</v>
      </c>
      <c r="P7" s="15" t="s">
        <v>11</v>
      </c>
      <c r="Q7" s="15" t="s">
        <v>12</v>
      </c>
      <c r="R7" s="15" t="s">
        <v>13</v>
      </c>
      <c r="S7" s="16" t="s">
        <v>14</v>
      </c>
      <c r="T7" s="16" t="s">
        <v>40</v>
      </c>
      <c r="U7" s="16" t="s">
        <v>41</v>
      </c>
      <c r="V7" s="16" t="s">
        <v>15</v>
      </c>
      <c r="W7" s="16" t="s">
        <v>16</v>
      </c>
      <c r="X7" s="15" t="s">
        <v>17</v>
      </c>
      <c r="Y7" s="17" t="s">
        <v>18</v>
      </c>
      <c r="Z7" s="18" t="s">
        <v>19</v>
      </c>
    </row>
    <row r="8" spans="1:26" ht="21.95" customHeight="1" x14ac:dyDescent="0.5">
      <c r="A8" s="7"/>
      <c r="B8" s="8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f>SUM(D8,H8,P8,R8,V8,F8,T8)</f>
        <v>0</v>
      </c>
      <c r="Y8" s="3">
        <f>SUM(E8,I8,Q8,S8,W8,G8,U8)</f>
        <v>0</v>
      </c>
      <c r="Z8" s="10">
        <f>(X8/4000)+Y8</f>
        <v>0</v>
      </c>
    </row>
    <row r="9" spans="1:26" ht="21.95" customHeight="1" x14ac:dyDescent="0.5">
      <c r="A9" s="7"/>
      <c r="B9" s="8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f>SUM(D9,H9,P9,R9,V9,F9)</f>
        <v>0</v>
      </c>
      <c r="Y9" s="3">
        <f>SUM(E9,I9,Q9,S9,W9,G9)</f>
        <v>0</v>
      </c>
      <c r="Z9" s="10">
        <f t="shared" ref="Z9:Z10" si="0">(X9/4000)+Y9</f>
        <v>0</v>
      </c>
    </row>
    <row r="10" spans="1:26" ht="21.95" customHeight="1" thickBot="1" x14ac:dyDescent="0.55000000000000004">
      <c r="A10" s="7"/>
      <c r="B10" s="8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f>SUM(D10,H10,P10,R10,V10,F10)</f>
        <v>0</v>
      </c>
      <c r="Y10" s="3">
        <f>SUM(E10,I10,Q10,S10,W10,G10)</f>
        <v>0</v>
      </c>
      <c r="Z10" s="10">
        <f t="shared" si="0"/>
        <v>0</v>
      </c>
    </row>
    <row r="11" spans="1:26" ht="21.95" customHeight="1" thickTop="1" thickBot="1" x14ac:dyDescent="0.55000000000000004">
      <c r="A11" s="11" t="s">
        <v>20</v>
      </c>
      <c r="B11" s="12"/>
      <c r="C11" s="13">
        <f>SUBTOTAL(103,C8:C10)</f>
        <v>0</v>
      </c>
      <c r="D11" s="14">
        <f>SUBTOTAL(109,D8:D10)</f>
        <v>0</v>
      </c>
      <c r="E11" s="14">
        <f t="shared" ref="E11:W11" si="1">SUBTOTAL(109,E8:E10)</f>
        <v>0</v>
      </c>
      <c r="F11" s="14">
        <f t="shared" si="1"/>
        <v>0</v>
      </c>
      <c r="G11" s="14">
        <f t="shared" si="1"/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14">
        <f t="shared" si="1"/>
        <v>0</v>
      </c>
      <c r="N11" s="14">
        <f t="shared" si="1"/>
        <v>0</v>
      </c>
      <c r="O11" s="14">
        <f t="shared" si="1"/>
        <v>0</v>
      </c>
      <c r="P11" s="14">
        <f t="shared" si="1"/>
        <v>0</v>
      </c>
      <c r="Q11" s="14">
        <f t="shared" si="1"/>
        <v>0</v>
      </c>
      <c r="R11" s="14">
        <f t="shared" si="1"/>
        <v>0</v>
      </c>
      <c r="S11" s="14">
        <f t="shared" si="1"/>
        <v>0</v>
      </c>
      <c r="T11" s="14"/>
      <c r="U11" s="14"/>
      <c r="V11" s="14">
        <f t="shared" si="1"/>
        <v>0</v>
      </c>
      <c r="W11" s="14">
        <f t="shared" si="1"/>
        <v>0</v>
      </c>
      <c r="X11" s="14">
        <f>SUM(V11,R11,P11,H11,F11,D11)</f>
        <v>0</v>
      </c>
      <c r="Y11" s="14">
        <f>SUM(W11,S11,Q11,I11,G11,E11)</f>
        <v>0</v>
      </c>
      <c r="Z11" s="20">
        <f>(X11/4000)+Y11</f>
        <v>0</v>
      </c>
    </row>
  </sheetData>
  <mergeCells count="14">
    <mergeCell ref="A1:Y1"/>
    <mergeCell ref="A2:Y2"/>
    <mergeCell ref="A4:Y4"/>
    <mergeCell ref="D6:E6"/>
    <mergeCell ref="H6:I6"/>
    <mergeCell ref="J6:K6"/>
    <mergeCell ref="L6:M6"/>
    <mergeCell ref="N6:O6"/>
    <mergeCell ref="P6:Q6"/>
    <mergeCell ref="R6:S6"/>
    <mergeCell ref="V6:W6"/>
    <mergeCell ref="X6:Y6"/>
    <mergeCell ref="F6:G6"/>
    <mergeCell ref="T6:U6"/>
  </mergeCells>
  <pageMargins left="0.45" right="0.38" top="0.5600000000000000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2017-12-19T10:37:24Z</cp:lastPrinted>
  <dcterms:created xsi:type="dcterms:W3CDTF">2017-12-19T10:08:47Z</dcterms:created>
  <dcterms:modified xsi:type="dcterms:W3CDTF">2021-07-06T02:21:24Z</dcterms:modified>
</cp:coreProperties>
</file>