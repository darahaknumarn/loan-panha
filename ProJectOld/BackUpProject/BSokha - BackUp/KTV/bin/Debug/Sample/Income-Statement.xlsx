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0" yWindow="0" windowWidth="20496" windowHeight="75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1" l="1"/>
  <c r="F26" i="1"/>
  <c r="F27" i="1"/>
  <c r="F28" i="1" l="1"/>
  <c r="F30" i="1" l="1"/>
  <c r="F23" i="1"/>
  <c r="F31" i="1"/>
  <c r="F32" i="1"/>
  <c r="F11" i="1"/>
  <c r="F12" i="1"/>
  <c r="F13" i="1"/>
  <c r="F14" i="1"/>
  <c r="F10" i="1"/>
  <c r="F17" i="1"/>
  <c r="F18" i="1"/>
  <c r="F19" i="1"/>
  <c r="F16" i="1"/>
  <c r="F22" i="1"/>
  <c r="F24" i="1"/>
  <c r="F21" i="1"/>
  <c r="F34" i="1" l="1"/>
  <c r="E29" i="1"/>
  <c r="D29" i="1"/>
  <c r="D20" i="1"/>
  <c r="E15" i="1"/>
  <c r="F15" i="1" s="1"/>
  <c r="D15" i="1"/>
  <c r="E9" i="1"/>
  <c r="D9" i="1"/>
  <c r="D33" i="1" l="1"/>
  <c r="D35" i="1" s="1"/>
  <c r="F20" i="1"/>
  <c r="F9" i="1"/>
  <c r="E33" i="1"/>
  <c r="E35" i="1" s="1"/>
  <c r="F29" i="1"/>
  <c r="F33" i="1" s="1"/>
  <c r="F35" i="1" s="1"/>
</calcChain>
</file>

<file path=xl/sharedStrings.xml><?xml version="1.0" encoding="utf-8"?>
<sst xmlns="http://schemas.openxmlformats.org/spreadsheetml/2006/main" count="33" uniqueCount="33">
  <si>
    <t>កាលបរិច្ឆេទៈ 30-Sept-2017</t>
  </si>
  <si>
    <t>ឈ្មោះគ្រឹះស្ថានៈ មរកត អ៊ែកធីវ ឃែភីថល ឯ.ក</t>
  </si>
  <si>
    <t>ACCOUNT_CODE</t>
  </si>
  <si>
    <t>ប្រាក់រៀល</t>
  </si>
  <si>
    <t>ប្រាក់ដុល្លារ</t>
  </si>
  <si>
    <t>សរុបជា
(USD)</t>
  </si>
  <si>
    <t>ឥណទានសរុបនៅអតិថិជន Loan Outstanding</t>
  </si>
  <si>
    <t>សាច់ប្រាក់សកម្ម​ Balance Cash on Hand</t>
  </si>
  <si>
    <t>សមតុល្យនៅធនាគារ Balance in Bank</t>
  </si>
  <si>
    <t>ទ្រព្យសកម្មផ្សេងៗ Assets</t>
  </si>
  <si>
    <t>២. មូលនិធិម្ចាស់ហ៊ុន​ (Capital)</t>
  </si>
  <si>
    <t>ដើមទុនចុះបញ្ជី(ទុនដើមគ្រានៃឆ្នាំ)</t>
  </si>
  <si>
    <t>ទុនបន្ថែមក្នុងគ្រា Add Capital</t>
  </si>
  <si>
    <t>ប្រាក់បញ្ញើ/ប្រាក់កម្ចី Deposit/ Loan</t>
  </si>
  <si>
    <t>ប្រាក់ចំណេញរក្សាទុក Retain Earning</t>
  </si>
  <si>
    <t>៣.ចំណូល(Income)</t>
  </si>
  <si>
    <t>ចំណូលការប្រាក់ Interest Income</t>
  </si>
  <si>
    <t>ចំណូលសោហ៊ុយ និង​កំរៃសេវា Admin Fee Income</t>
  </si>
  <si>
    <t>៤. ចំណាយប្រតិបត្ដិការ (Operation Exp)</t>
  </si>
  <si>
    <t>៥. ប្រាក់ចំណេញមុនបង់ពន្ធ (Before Tax)</t>
  </si>
  <si>
    <t>ពន្ធលើប្រាក់ចំណេញ Income Taxation</t>
  </si>
  <si>
    <t>៦. ចំណេញសុទ្ធ (Net Profite After Tax)</t>
  </si>
  <si>
    <t>អ្នកធ្វើរបាយការណ៍</t>
  </si>
  <si>
    <t>Balance in National Bank</t>
  </si>
  <si>
    <t>របាយការណ៍ហិរញ្ញវត្ថុសង្ខេប</t>
  </si>
  <si>
    <t>Exchange Rate</t>
  </si>
  <si>
    <t>១.ទ្រព្យសកម្ម (Assets)</t>
  </si>
  <si>
    <t>MOROKOT ACTIVE CAPITAL C0.,Ltd.</t>
  </si>
  <si>
    <t>i</t>
  </si>
  <si>
    <t>c</t>
  </si>
  <si>
    <t>o</t>
  </si>
  <si>
    <t>w</t>
  </si>
  <si>
    <t>ថ្ងៃទី...........ខែ...................ឆ្នាំ២០១…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</si>
</sst>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2"/>
      <color rgb="FF002060"/>
      <name val="Khmer Muol"/>
    </font>
    <font>
      <sz val="10"/>
      <color rgb="FFFF0000"/>
      <name val="Calibri"/>
      <family val="2"/>
      <scheme val="minor"/>
    </font>
    <font>
      <b/>
      <sz val="10"/>
      <color rgb="FFC00000"/>
      <name val="Khmer Muol"/>
    </font>
    <font>
      <sz val="10"/>
      <color rgb="FF002060"/>
      <name val="Khmer Muol"/>
    </font>
    <font>
      <b/>
      <sz val="10"/>
      <color theme="1"/>
      <name val="Arial"/>
      <family val="2"/>
    </font>
    <font>
      <sz val="9"/>
      <color rgb="FF002060"/>
      <name val="Khmer Kep"/>
    </font>
    <font>
      <sz val="9"/>
      <color rgb="FF002060"/>
      <name val="Times New Roman"/>
      <family val="1"/>
    </font>
    <font>
      <b/>
      <sz val="10"/>
      <color rgb="FF002060"/>
      <name val="Calibri"/>
      <family val="2"/>
      <scheme val="minor"/>
    </font>
    <font>
      <sz val="10"/>
      <color rgb="FF002060"/>
      <name val="Kh Koulen"/>
    </font>
    <font>
      <b/>
      <sz val="10"/>
      <color rgb="FF002060"/>
      <name val="Kh Koulen"/>
    </font>
    <font>
      <sz val="9"/>
      <color rgb="FF002060"/>
      <name val="Kh Koulen"/>
    </font>
    <font>
      <sz val="9"/>
      <color rgb="FF002060"/>
      <name val="Khmer Muol"/>
    </font>
    <font>
      <b/>
      <sz val="9"/>
      <color rgb="FF002060"/>
      <name val="Times New Roman"/>
      <family val="1"/>
    </font>
    <font>
      <b/>
      <sz val="10"/>
      <color rgb="FF002060"/>
      <name val="Kh Muol Pali"/>
    </font>
    <font>
      <b/>
      <sz val="16"/>
      <color rgb="FF002060"/>
      <name val="Kh Muol Pali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2060"/>
      </left>
      <right style="thin">
        <color theme="5" tint="0.39994506668294322"/>
      </right>
      <top style="medium">
        <color rgb="FF002060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medium">
        <color rgb="FF002060"/>
      </top>
      <bottom style="thin">
        <color theme="5" tint="0.39994506668294322"/>
      </bottom>
      <diagonal/>
    </border>
    <border>
      <left style="thin">
        <color theme="5" tint="0.39994506668294322"/>
      </left>
      <right style="medium">
        <color rgb="FF002060"/>
      </right>
      <top style="medium">
        <color rgb="FF002060"/>
      </top>
      <bottom style="thin">
        <color theme="5" tint="0.39994506668294322"/>
      </bottom>
      <diagonal/>
    </border>
    <border>
      <left style="medium">
        <color rgb="FF002060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medium">
        <color rgb="FF002060"/>
      </right>
      <top style="thin">
        <color theme="5" tint="0.39994506668294322"/>
      </top>
      <bottom style="thin">
        <color theme="5" tint="0.39994506668294322"/>
      </bottom>
      <diagonal/>
    </border>
    <border>
      <left style="medium">
        <color rgb="FF002060"/>
      </left>
      <right style="thin">
        <color theme="5" tint="0.39994506668294322"/>
      </right>
      <top style="thin">
        <color theme="5" tint="0.39994506668294322"/>
      </top>
      <bottom style="medium">
        <color rgb="FF002060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medium">
        <color rgb="FF002060"/>
      </bottom>
      <diagonal/>
    </border>
    <border>
      <left style="thin">
        <color theme="5" tint="0.39994506668294322"/>
      </left>
      <right style="medium">
        <color rgb="FF002060"/>
      </right>
      <top style="thin">
        <color theme="5" tint="0.39994506668294322"/>
      </top>
      <bottom style="medium">
        <color rgb="FF00206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43" fontId="2" fillId="0" borderId="0" xfId="0" applyNumberFormat="1" applyFont="1" applyAlignment="1">
      <alignment horizontal="left"/>
    </xf>
    <xf numFmtId="40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7" fillId="2" borderId="3" xfId="2" applyFont="1" applyBorder="1" applyAlignment="1">
      <alignment vertical="center"/>
    </xf>
    <xf numFmtId="0" fontId="13" fillId="0" borderId="3" xfId="0" applyFont="1" applyFill="1" applyBorder="1" applyAlignment="1">
      <alignment horizontal="center" vertical="top"/>
    </xf>
    <xf numFmtId="0" fontId="14" fillId="3" borderId="6" xfId="0" applyFont="1" applyFill="1" applyBorder="1" applyAlignment="1">
      <alignment horizontal="left" vertical="top"/>
    </xf>
    <xf numFmtId="164" fontId="15" fillId="3" borderId="6" xfId="1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top"/>
    </xf>
    <xf numFmtId="0" fontId="2" fillId="0" borderId="5" xfId="0" applyFont="1" applyBorder="1" applyAlignment="1">
      <alignment horizontal="center"/>
    </xf>
    <xf numFmtId="40" fontId="14" fillId="3" borderId="9" xfId="0" applyNumberFormat="1" applyFont="1" applyFill="1" applyBorder="1" applyAlignment="1">
      <alignment horizontal="left" vertical="top"/>
    </xf>
    <xf numFmtId="164" fontId="13" fillId="0" borderId="4" xfId="0" applyNumberFormat="1" applyFont="1" applyFill="1" applyBorder="1" applyAlignment="1">
      <alignment vertical="top"/>
    </xf>
    <xf numFmtId="43" fontId="9" fillId="0" borderId="6" xfId="1" applyNumberFormat="1" applyFont="1" applyBorder="1" applyAlignment="1">
      <alignment horizontal="right" vertical="center"/>
    </xf>
    <xf numFmtId="43" fontId="9" fillId="0" borderId="7" xfId="1" applyNumberFormat="1" applyFont="1" applyBorder="1" applyAlignment="1">
      <alignment horizontal="right" vertical="center"/>
    </xf>
    <xf numFmtId="43" fontId="15" fillId="3" borderId="6" xfId="1" applyNumberFormat="1" applyFont="1" applyFill="1" applyBorder="1" applyAlignment="1">
      <alignment vertical="center"/>
    </xf>
    <xf numFmtId="43" fontId="15" fillId="3" borderId="7" xfId="1" applyNumberFormat="1" applyFont="1" applyFill="1" applyBorder="1" applyAlignment="1">
      <alignment vertical="center"/>
    </xf>
    <xf numFmtId="43" fontId="15" fillId="3" borderId="6" xfId="1" applyNumberFormat="1" applyFont="1" applyFill="1" applyBorder="1" applyAlignment="1">
      <alignment horizontal="right" vertical="center"/>
    </xf>
    <xf numFmtId="43" fontId="15" fillId="3" borderId="7" xfId="1" applyNumberFormat="1" applyFont="1" applyFill="1" applyBorder="1" applyAlignment="1">
      <alignment horizontal="right" vertical="center"/>
    </xf>
    <xf numFmtId="43" fontId="15" fillId="3" borderId="9" xfId="1" applyNumberFormat="1" applyFont="1" applyFill="1" applyBorder="1" applyAlignment="1">
      <alignment horizontal="right" vertical="center"/>
    </xf>
    <xf numFmtId="43" fontId="15" fillId="3" borderId="10" xfId="1" applyNumberFormat="1" applyFont="1" applyFill="1" applyBorder="1" applyAlignment="1">
      <alignment horizontal="right" vertical="center"/>
    </xf>
    <xf numFmtId="0" fontId="2" fillId="0" borderId="5" xfId="0" applyFont="1" applyBorder="1" applyAlignment="1">
      <alignment horizontal="center"/>
    </xf>
    <xf numFmtId="0" fontId="11" fillId="3" borderId="5" xfId="0" applyFont="1" applyFill="1" applyBorder="1" applyAlignment="1">
      <alignment horizontal="left" vertical="top"/>
    </xf>
    <xf numFmtId="0" fontId="11" fillId="3" borderId="6" xfId="0" applyFont="1" applyFill="1" applyBorder="1" applyAlignment="1">
      <alignment horizontal="left" vertical="top"/>
    </xf>
    <xf numFmtId="0" fontId="11" fillId="3" borderId="8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horizontal="left" vertical="top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top"/>
    </xf>
    <xf numFmtId="0" fontId="10" fillId="0" borderId="5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43" fontId="4" fillId="0" borderId="0" xfId="1" applyFont="1" applyBorder="1" applyAlignment="1">
      <alignment horizontal="center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Note" xfId="2" builtinId="1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105230</xdr:rowOff>
    </xdr:from>
    <xdr:to>
      <xdr:col>1</xdr:col>
      <xdr:colOff>1047750</xdr:colOff>
      <xdr:row>2</xdr:row>
      <xdr:rowOff>1341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05230"/>
          <a:ext cx="1200150" cy="553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tabSelected="1" topLeftCell="A16" workbookViewId="0">
      <selection activeCell="E27" sqref="E27"/>
    </sheetView>
  </sheetViews>
  <sheetFormatPr defaultColWidth="8.88671875" defaultRowHeight="21" customHeight="1"/>
  <cols>
    <col min="1" max="1" width="5.109375" style="1" customWidth="1"/>
    <col min="2" max="2" width="39.33203125" style="2" bestFit="1" customWidth="1"/>
    <col min="3" max="3" width="16.33203125" style="3" bestFit="1" customWidth="1"/>
    <col min="4" max="4" width="15.44140625" style="3" customWidth="1"/>
    <col min="5" max="5" width="11.6640625" style="2" customWidth="1"/>
    <col min="6" max="6" width="13.109375" style="8" customWidth="1"/>
    <col min="7" max="9" width="8.88671875" style="2"/>
    <col min="10" max="10" width="13.5546875" style="2" bestFit="1" customWidth="1"/>
    <col min="11" max="255" width="8.88671875" style="2"/>
    <col min="256" max="256" width="5.109375" style="2" customWidth="1"/>
    <col min="257" max="257" width="39.33203125" style="2" bestFit="1" customWidth="1"/>
    <col min="258" max="258" width="8.88671875" style="2"/>
    <col min="259" max="259" width="16.33203125" style="2" bestFit="1" customWidth="1"/>
    <col min="260" max="260" width="15.44140625" style="2" customWidth="1"/>
    <col min="261" max="261" width="11.6640625" style="2" customWidth="1"/>
    <col min="262" max="262" width="12" style="2" bestFit="1" customWidth="1"/>
    <col min="263" max="265" width="8.88671875" style="2"/>
    <col min="266" max="266" width="13.5546875" style="2" bestFit="1" customWidth="1"/>
    <col min="267" max="511" width="8.88671875" style="2"/>
    <col min="512" max="512" width="5.109375" style="2" customWidth="1"/>
    <col min="513" max="513" width="39.33203125" style="2" bestFit="1" customWidth="1"/>
    <col min="514" max="514" width="8.88671875" style="2"/>
    <col min="515" max="515" width="16.33203125" style="2" bestFit="1" customWidth="1"/>
    <col min="516" max="516" width="15.44140625" style="2" customWidth="1"/>
    <col min="517" max="517" width="11.6640625" style="2" customWidth="1"/>
    <col min="518" max="518" width="12" style="2" bestFit="1" customWidth="1"/>
    <col min="519" max="521" width="8.88671875" style="2"/>
    <col min="522" max="522" width="13.5546875" style="2" bestFit="1" customWidth="1"/>
    <col min="523" max="767" width="8.88671875" style="2"/>
    <col min="768" max="768" width="5.109375" style="2" customWidth="1"/>
    <col min="769" max="769" width="39.33203125" style="2" bestFit="1" customWidth="1"/>
    <col min="770" max="770" width="8.88671875" style="2"/>
    <col min="771" max="771" width="16.33203125" style="2" bestFit="1" customWidth="1"/>
    <col min="772" max="772" width="15.44140625" style="2" customWidth="1"/>
    <col min="773" max="773" width="11.6640625" style="2" customWidth="1"/>
    <col min="774" max="774" width="12" style="2" bestFit="1" customWidth="1"/>
    <col min="775" max="777" width="8.88671875" style="2"/>
    <col min="778" max="778" width="13.5546875" style="2" bestFit="1" customWidth="1"/>
    <col min="779" max="1023" width="8.88671875" style="2"/>
    <col min="1024" max="1024" width="5.109375" style="2" customWidth="1"/>
    <col min="1025" max="1025" width="39.33203125" style="2" bestFit="1" customWidth="1"/>
    <col min="1026" max="1026" width="8.88671875" style="2"/>
    <col min="1027" max="1027" width="16.33203125" style="2" bestFit="1" customWidth="1"/>
    <col min="1028" max="1028" width="15.44140625" style="2" customWidth="1"/>
    <col min="1029" max="1029" width="11.6640625" style="2" customWidth="1"/>
    <col min="1030" max="1030" width="12" style="2" bestFit="1" customWidth="1"/>
    <col min="1031" max="1033" width="8.88671875" style="2"/>
    <col min="1034" max="1034" width="13.5546875" style="2" bestFit="1" customWidth="1"/>
    <col min="1035" max="1279" width="8.88671875" style="2"/>
    <col min="1280" max="1280" width="5.109375" style="2" customWidth="1"/>
    <col min="1281" max="1281" width="39.33203125" style="2" bestFit="1" customWidth="1"/>
    <col min="1282" max="1282" width="8.88671875" style="2"/>
    <col min="1283" max="1283" width="16.33203125" style="2" bestFit="1" customWidth="1"/>
    <col min="1284" max="1284" width="15.44140625" style="2" customWidth="1"/>
    <col min="1285" max="1285" width="11.6640625" style="2" customWidth="1"/>
    <col min="1286" max="1286" width="12" style="2" bestFit="1" customWidth="1"/>
    <col min="1287" max="1289" width="8.88671875" style="2"/>
    <col min="1290" max="1290" width="13.5546875" style="2" bestFit="1" customWidth="1"/>
    <col min="1291" max="1535" width="8.88671875" style="2"/>
    <col min="1536" max="1536" width="5.109375" style="2" customWidth="1"/>
    <col min="1537" max="1537" width="39.33203125" style="2" bestFit="1" customWidth="1"/>
    <col min="1538" max="1538" width="8.88671875" style="2"/>
    <col min="1539" max="1539" width="16.33203125" style="2" bestFit="1" customWidth="1"/>
    <col min="1540" max="1540" width="15.44140625" style="2" customWidth="1"/>
    <col min="1541" max="1541" width="11.6640625" style="2" customWidth="1"/>
    <col min="1542" max="1542" width="12" style="2" bestFit="1" customWidth="1"/>
    <col min="1543" max="1545" width="8.88671875" style="2"/>
    <col min="1546" max="1546" width="13.5546875" style="2" bestFit="1" customWidth="1"/>
    <col min="1547" max="1791" width="8.88671875" style="2"/>
    <col min="1792" max="1792" width="5.109375" style="2" customWidth="1"/>
    <col min="1793" max="1793" width="39.33203125" style="2" bestFit="1" customWidth="1"/>
    <col min="1794" max="1794" width="8.88671875" style="2"/>
    <col min="1795" max="1795" width="16.33203125" style="2" bestFit="1" customWidth="1"/>
    <col min="1796" max="1796" width="15.44140625" style="2" customWidth="1"/>
    <col min="1797" max="1797" width="11.6640625" style="2" customWidth="1"/>
    <col min="1798" max="1798" width="12" style="2" bestFit="1" customWidth="1"/>
    <col min="1799" max="1801" width="8.88671875" style="2"/>
    <col min="1802" max="1802" width="13.5546875" style="2" bestFit="1" customWidth="1"/>
    <col min="1803" max="2047" width="8.88671875" style="2"/>
    <col min="2048" max="2048" width="5.109375" style="2" customWidth="1"/>
    <col min="2049" max="2049" width="39.33203125" style="2" bestFit="1" customWidth="1"/>
    <col min="2050" max="2050" width="8.88671875" style="2"/>
    <col min="2051" max="2051" width="16.33203125" style="2" bestFit="1" customWidth="1"/>
    <col min="2052" max="2052" width="15.44140625" style="2" customWidth="1"/>
    <col min="2053" max="2053" width="11.6640625" style="2" customWidth="1"/>
    <col min="2054" max="2054" width="12" style="2" bestFit="1" customWidth="1"/>
    <col min="2055" max="2057" width="8.88671875" style="2"/>
    <col min="2058" max="2058" width="13.5546875" style="2" bestFit="1" customWidth="1"/>
    <col min="2059" max="2303" width="8.88671875" style="2"/>
    <col min="2304" max="2304" width="5.109375" style="2" customWidth="1"/>
    <col min="2305" max="2305" width="39.33203125" style="2" bestFit="1" customWidth="1"/>
    <col min="2306" max="2306" width="8.88671875" style="2"/>
    <col min="2307" max="2307" width="16.33203125" style="2" bestFit="1" customWidth="1"/>
    <col min="2308" max="2308" width="15.44140625" style="2" customWidth="1"/>
    <col min="2309" max="2309" width="11.6640625" style="2" customWidth="1"/>
    <col min="2310" max="2310" width="12" style="2" bestFit="1" customWidth="1"/>
    <col min="2311" max="2313" width="8.88671875" style="2"/>
    <col min="2314" max="2314" width="13.5546875" style="2" bestFit="1" customWidth="1"/>
    <col min="2315" max="2559" width="8.88671875" style="2"/>
    <col min="2560" max="2560" width="5.109375" style="2" customWidth="1"/>
    <col min="2561" max="2561" width="39.33203125" style="2" bestFit="1" customWidth="1"/>
    <col min="2562" max="2562" width="8.88671875" style="2"/>
    <col min="2563" max="2563" width="16.33203125" style="2" bestFit="1" customWidth="1"/>
    <col min="2564" max="2564" width="15.44140625" style="2" customWidth="1"/>
    <col min="2565" max="2565" width="11.6640625" style="2" customWidth="1"/>
    <col min="2566" max="2566" width="12" style="2" bestFit="1" customWidth="1"/>
    <col min="2567" max="2569" width="8.88671875" style="2"/>
    <col min="2570" max="2570" width="13.5546875" style="2" bestFit="1" customWidth="1"/>
    <col min="2571" max="2815" width="8.88671875" style="2"/>
    <col min="2816" max="2816" width="5.109375" style="2" customWidth="1"/>
    <col min="2817" max="2817" width="39.33203125" style="2" bestFit="1" customWidth="1"/>
    <col min="2818" max="2818" width="8.88671875" style="2"/>
    <col min="2819" max="2819" width="16.33203125" style="2" bestFit="1" customWidth="1"/>
    <col min="2820" max="2820" width="15.44140625" style="2" customWidth="1"/>
    <col min="2821" max="2821" width="11.6640625" style="2" customWidth="1"/>
    <col min="2822" max="2822" width="12" style="2" bestFit="1" customWidth="1"/>
    <col min="2823" max="2825" width="8.88671875" style="2"/>
    <col min="2826" max="2826" width="13.5546875" style="2" bestFit="1" customWidth="1"/>
    <col min="2827" max="3071" width="8.88671875" style="2"/>
    <col min="3072" max="3072" width="5.109375" style="2" customWidth="1"/>
    <col min="3073" max="3073" width="39.33203125" style="2" bestFit="1" customWidth="1"/>
    <col min="3074" max="3074" width="8.88671875" style="2"/>
    <col min="3075" max="3075" width="16.33203125" style="2" bestFit="1" customWidth="1"/>
    <col min="3076" max="3076" width="15.44140625" style="2" customWidth="1"/>
    <col min="3077" max="3077" width="11.6640625" style="2" customWidth="1"/>
    <col min="3078" max="3078" width="12" style="2" bestFit="1" customWidth="1"/>
    <col min="3079" max="3081" width="8.88671875" style="2"/>
    <col min="3082" max="3082" width="13.5546875" style="2" bestFit="1" customWidth="1"/>
    <col min="3083" max="3327" width="8.88671875" style="2"/>
    <col min="3328" max="3328" width="5.109375" style="2" customWidth="1"/>
    <col min="3329" max="3329" width="39.33203125" style="2" bestFit="1" customWidth="1"/>
    <col min="3330" max="3330" width="8.88671875" style="2"/>
    <col min="3331" max="3331" width="16.33203125" style="2" bestFit="1" customWidth="1"/>
    <col min="3332" max="3332" width="15.44140625" style="2" customWidth="1"/>
    <col min="3333" max="3333" width="11.6640625" style="2" customWidth="1"/>
    <col min="3334" max="3334" width="12" style="2" bestFit="1" customWidth="1"/>
    <col min="3335" max="3337" width="8.88671875" style="2"/>
    <col min="3338" max="3338" width="13.5546875" style="2" bestFit="1" customWidth="1"/>
    <col min="3339" max="3583" width="8.88671875" style="2"/>
    <col min="3584" max="3584" width="5.109375" style="2" customWidth="1"/>
    <col min="3585" max="3585" width="39.33203125" style="2" bestFit="1" customWidth="1"/>
    <col min="3586" max="3586" width="8.88671875" style="2"/>
    <col min="3587" max="3587" width="16.33203125" style="2" bestFit="1" customWidth="1"/>
    <col min="3588" max="3588" width="15.44140625" style="2" customWidth="1"/>
    <col min="3589" max="3589" width="11.6640625" style="2" customWidth="1"/>
    <col min="3590" max="3590" width="12" style="2" bestFit="1" customWidth="1"/>
    <col min="3591" max="3593" width="8.88671875" style="2"/>
    <col min="3594" max="3594" width="13.5546875" style="2" bestFit="1" customWidth="1"/>
    <col min="3595" max="3839" width="8.88671875" style="2"/>
    <col min="3840" max="3840" width="5.109375" style="2" customWidth="1"/>
    <col min="3841" max="3841" width="39.33203125" style="2" bestFit="1" customWidth="1"/>
    <col min="3842" max="3842" width="8.88671875" style="2"/>
    <col min="3843" max="3843" width="16.33203125" style="2" bestFit="1" customWidth="1"/>
    <col min="3844" max="3844" width="15.44140625" style="2" customWidth="1"/>
    <col min="3845" max="3845" width="11.6640625" style="2" customWidth="1"/>
    <col min="3846" max="3846" width="12" style="2" bestFit="1" customWidth="1"/>
    <col min="3847" max="3849" width="8.88671875" style="2"/>
    <col min="3850" max="3850" width="13.5546875" style="2" bestFit="1" customWidth="1"/>
    <col min="3851" max="4095" width="8.88671875" style="2"/>
    <col min="4096" max="4096" width="5.109375" style="2" customWidth="1"/>
    <col min="4097" max="4097" width="39.33203125" style="2" bestFit="1" customWidth="1"/>
    <col min="4098" max="4098" width="8.88671875" style="2"/>
    <col min="4099" max="4099" width="16.33203125" style="2" bestFit="1" customWidth="1"/>
    <col min="4100" max="4100" width="15.44140625" style="2" customWidth="1"/>
    <col min="4101" max="4101" width="11.6640625" style="2" customWidth="1"/>
    <col min="4102" max="4102" width="12" style="2" bestFit="1" customWidth="1"/>
    <col min="4103" max="4105" width="8.88671875" style="2"/>
    <col min="4106" max="4106" width="13.5546875" style="2" bestFit="1" customWidth="1"/>
    <col min="4107" max="4351" width="8.88671875" style="2"/>
    <col min="4352" max="4352" width="5.109375" style="2" customWidth="1"/>
    <col min="4353" max="4353" width="39.33203125" style="2" bestFit="1" customWidth="1"/>
    <col min="4354" max="4354" width="8.88671875" style="2"/>
    <col min="4355" max="4355" width="16.33203125" style="2" bestFit="1" customWidth="1"/>
    <col min="4356" max="4356" width="15.44140625" style="2" customWidth="1"/>
    <col min="4357" max="4357" width="11.6640625" style="2" customWidth="1"/>
    <col min="4358" max="4358" width="12" style="2" bestFit="1" customWidth="1"/>
    <col min="4359" max="4361" width="8.88671875" style="2"/>
    <col min="4362" max="4362" width="13.5546875" style="2" bestFit="1" customWidth="1"/>
    <col min="4363" max="4607" width="8.88671875" style="2"/>
    <col min="4608" max="4608" width="5.109375" style="2" customWidth="1"/>
    <col min="4609" max="4609" width="39.33203125" style="2" bestFit="1" customWidth="1"/>
    <col min="4610" max="4610" width="8.88671875" style="2"/>
    <col min="4611" max="4611" width="16.33203125" style="2" bestFit="1" customWidth="1"/>
    <col min="4612" max="4612" width="15.44140625" style="2" customWidth="1"/>
    <col min="4613" max="4613" width="11.6640625" style="2" customWidth="1"/>
    <col min="4614" max="4614" width="12" style="2" bestFit="1" customWidth="1"/>
    <col min="4615" max="4617" width="8.88671875" style="2"/>
    <col min="4618" max="4618" width="13.5546875" style="2" bestFit="1" customWidth="1"/>
    <col min="4619" max="4863" width="8.88671875" style="2"/>
    <col min="4864" max="4864" width="5.109375" style="2" customWidth="1"/>
    <col min="4865" max="4865" width="39.33203125" style="2" bestFit="1" customWidth="1"/>
    <col min="4866" max="4866" width="8.88671875" style="2"/>
    <col min="4867" max="4867" width="16.33203125" style="2" bestFit="1" customWidth="1"/>
    <col min="4868" max="4868" width="15.44140625" style="2" customWidth="1"/>
    <col min="4869" max="4869" width="11.6640625" style="2" customWidth="1"/>
    <col min="4870" max="4870" width="12" style="2" bestFit="1" customWidth="1"/>
    <col min="4871" max="4873" width="8.88671875" style="2"/>
    <col min="4874" max="4874" width="13.5546875" style="2" bestFit="1" customWidth="1"/>
    <col min="4875" max="5119" width="8.88671875" style="2"/>
    <col min="5120" max="5120" width="5.109375" style="2" customWidth="1"/>
    <col min="5121" max="5121" width="39.33203125" style="2" bestFit="1" customWidth="1"/>
    <col min="5122" max="5122" width="8.88671875" style="2"/>
    <col min="5123" max="5123" width="16.33203125" style="2" bestFit="1" customWidth="1"/>
    <col min="5124" max="5124" width="15.44140625" style="2" customWidth="1"/>
    <col min="5125" max="5125" width="11.6640625" style="2" customWidth="1"/>
    <col min="5126" max="5126" width="12" style="2" bestFit="1" customWidth="1"/>
    <col min="5127" max="5129" width="8.88671875" style="2"/>
    <col min="5130" max="5130" width="13.5546875" style="2" bestFit="1" customWidth="1"/>
    <col min="5131" max="5375" width="8.88671875" style="2"/>
    <col min="5376" max="5376" width="5.109375" style="2" customWidth="1"/>
    <col min="5377" max="5377" width="39.33203125" style="2" bestFit="1" customWidth="1"/>
    <col min="5378" max="5378" width="8.88671875" style="2"/>
    <col min="5379" max="5379" width="16.33203125" style="2" bestFit="1" customWidth="1"/>
    <col min="5380" max="5380" width="15.44140625" style="2" customWidth="1"/>
    <col min="5381" max="5381" width="11.6640625" style="2" customWidth="1"/>
    <col min="5382" max="5382" width="12" style="2" bestFit="1" customWidth="1"/>
    <col min="5383" max="5385" width="8.88671875" style="2"/>
    <col min="5386" max="5386" width="13.5546875" style="2" bestFit="1" customWidth="1"/>
    <col min="5387" max="5631" width="8.88671875" style="2"/>
    <col min="5632" max="5632" width="5.109375" style="2" customWidth="1"/>
    <col min="5633" max="5633" width="39.33203125" style="2" bestFit="1" customWidth="1"/>
    <col min="5634" max="5634" width="8.88671875" style="2"/>
    <col min="5635" max="5635" width="16.33203125" style="2" bestFit="1" customWidth="1"/>
    <col min="5636" max="5636" width="15.44140625" style="2" customWidth="1"/>
    <col min="5637" max="5637" width="11.6640625" style="2" customWidth="1"/>
    <col min="5638" max="5638" width="12" style="2" bestFit="1" customWidth="1"/>
    <col min="5639" max="5641" width="8.88671875" style="2"/>
    <col min="5642" max="5642" width="13.5546875" style="2" bestFit="1" customWidth="1"/>
    <col min="5643" max="5887" width="8.88671875" style="2"/>
    <col min="5888" max="5888" width="5.109375" style="2" customWidth="1"/>
    <col min="5889" max="5889" width="39.33203125" style="2" bestFit="1" customWidth="1"/>
    <col min="5890" max="5890" width="8.88671875" style="2"/>
    <col min="5891" max="5891" width="16.33203125" style="2" bestFit="1" customWidth="1"/>
    <col min="5892" max="5892" width="15.44140625" style="2" customWidth="1"/>
    <col min="5893" max="5893" width="11.6640625" style="2" customWidth="1"/>
    <col min="5894" max="5894" width="12" style="2" bestFit="1" customWidth="1"/>
    <col min="5895" max="5897" width="8.88671875" style="2"/>
    <col min="5898" max="5898" width="13.5546875" style="2" bestFit="1" customWidth="1"/>
    <col min="5899" max="6143" width="8.88671875" style="2"/>
    <col min="6144" max="6144" width="5.109375" style="2" customWidth="1"/>
    <col min="6145" max="6145" width="39.33203125" style="2" bestFit="1" customWidth="1"/>
    <col min="6146" max="6146" width="8.88671875" style="2"/>
    <col min="6147" max="6147" width="16.33203125" style="2" bestFit="1" customWidth="1"/>
    <col min="6148" max="6148" width="15.44140625" style="2" customWidth="1"/>
    <col min="6149" max="6149" width="11.6640625" style="2" customWidth="1"/>
    <col min="6150" max="6150" width="12" style="2" bestFit="1" customWidth="1"/>
    <col min="6151" max="6153" width="8.88671875" style="2"/>
    <col min="6154" max="6154" width="13.5546875" style="2" bestFit="1" customWidth="1"/>
    <col min="6155" max="6399" width="8.88671875" style="2"/>
    <col min="6400" max="6400" width="5.109375" style="2" customWidth="1"/>
    <col min="6401" max="6401" width="39.33203125" style="2" bestFit="1" customWidth="1"/>
    <col min="6402" max="6402" width="8.88671875" style="2"/>
    <col min="6403" max="6403" width="16.33203125" style="2" bestFit="1" customWidth="1"/>
    <col min="6404" max="6404" width="15.44140625" style="2" customWidth="1"/>
    <col min="6405" max="6405" width="11.6640625" style="2" customWidth="1"/>
    <col min="6406" max="6406" width="12" style="2" bestFit="1" customWidth="1"/>
    <col min="6407" max="6409" width="8.88671875" style="2"/>
    <col min="6410" max="6410" width="13.5546875" style="2" bestFit="1" customWidth="1"/>
    <col min="6411" max="6655" width="8.88671875" style="2"/>
    <col min="6656" max="6656" width="5.109375" style="2" customWidth="1"/>
    <col min="6657" max="6657" width="39.33203125" style="2" bestFit="1" customWidth="1"/>
    <col min="6658" max="6658" width="8.88671875" style="2"/>
    <col min="6659" max="6659" width="16.33203125" style="2" bestFit="1" customWidth="1"/>
    <col min="6660" max="6660" width="15.44140625" style="2" customWidth="1"/>
    <col min="6661" max="6661" width="11.6640625" style="2" customWidth="1"/>
    <col min="6662" max="6662" width="12" style="2" bestFit="1" customWidth="1"/>
    <col min="6663" max="6665" width="8.88671875" style="2"/>
    <col min="6666" max="6666" width="13.5546875" style="2" bestFit="1" customWidth="1"/>
    <col min="6667" max="6911" width="8.88671875" style="2"/>
    <col min="6912" max="6912" width="5.109375" style="2" customWidth="1"/>
    <col min="6913" max="6913" width="39.33203125" style="2" bestFit="1" customWidth="1"/>
    <col min="6914" max="6914" width="8.88671875" style="2"/>
    <col min="6915" max="6915" width="16.33203125" style="2" bestFit="1" customWidth="1"/>
    <col min="6916" max="6916" width="15.44140625" style="2" customWidth="1"/>
    <col min="6917" max="6917" width="11.6640625" style="2" customWidth="1"/>
    <col min="6918" max="6918" width="12" style="2" bestFit="1" customWidth="1"/>
    <col min="6919" max="6921" width="8.88671875" style="2"/>
    <col min="6922" max="6922" width="13.5546875" style="2" bestFit="1" customWidth="1"/>
    <col min="6923" max="7167" width="8.88671875" style="2"/>
    <col min="7168" max="7168" width="5.109375" style="2" customWidth="1"/>
    <col min="7169" max="7169" width="39.33203125" style="2" bestFit="1" customWidth="1"/>
    <col min="7170" max="7170" width="8.88671875" style="2"/>
    <col min="7171" max="7171" width="16.33203125" style="2" bestFit="1" customWidth="1"/>
    <col min="7172" max="7172" width="15.44140625" style="2" customWidth="1"/>
    <col min="7173" max="7173" width="11.6640625" style="2" customWidth="1"/>
    <col min="7174" max="7174" width="12" style="2" bestFit="1" customWidth="1"/>
    <col min="7175" max="7177" width="8.88671875" style="2"/>
    <col min="7178" max="7178" width="13.5546875" style="2" bestFit="1" customWidth="1"/>
    <col min="7179" max="7423" width="8.88671875" style="2"/>
    <col min="7424" max="7424" width="5.109375" style="2" customWidth="1"/>
    <col min="7425" max="7425" width="39.33203125" style="2" bestFit="1" customWidth="1"/>
    <col min="7426" max="7426" width="8.88671875" style="2"/>
    <col min="7427" max="7427" width="16.33203125" style="2" bestFit="1" customWidth="1"/>
    <col min="7428" max="7428" width="15.44140625" style="2" customWidth="1"/>
    <col min="7429" max="7429" width="11.6640625" style="2" customWidth="1"/>
    <col min="7430" max="7430" width="12" style="2" bestFit="1" customWidth="1"/>
    <col min="7431" max="7433" width="8.88671875" style="2"/>
    <col min="7434" max="7434" width="13.5546875" style="2" bestFit="1" customWidth="1"/>
    <col min="7435" max="7679" width="8.88671875" style="2"/>
    <col min="7680" max="7680" width="5.109375" style="2" customWidth="1"/>
    <col min="7681" max="7681" width="39.33203125" style="2" bestFit="1" customWidth="1"/>
    <col min="7682" max="7682" width="8.88671875" style="2"/>
    <col min="7683" max="7683" width="16.33203125" style="2" bestFit="1" customWidth="1"/>
    <col min="7684" max="7684" width="15.44140625" style="2" customWidth="1"/>
    <col min="7685" max="7685" width="11.6640625" style="2" customWidth="1"/>
    <col min="7686" max="7686" width="12" style="2" bestFit="1" customWidth="1"/>
    <col min="7687" max="7689" width="8.88671875" style="2"/>
    <col min="7690" max="7690" width="13.5546875" style="2" bestFit="1" customWidth="1"/>
    <col min="7691" max="7935" width="8.88671875" style="2"/>
    <col min="7936" max="7936" width="5.109375" style="2" customWidth="1"/>
    <col min="7937" max="7937" width="39.33203125" style="2" bestFit="1" customWidth="1"/>
    <col min="7938" max="7938" width="8.88671875" style="2"/>
    <col min="7939" max="7939" width="16.33203125" style="2" bestFit="1" customWidth="1"/>
    <col min="7940" max="7940" width="15.44140625" style="2" customWidth="1"/>
    <col min="7941" max="7941" width="11.6640625" style="2" customWidth="1"/>
    <col min="7942" max="7942" width="12" style="2" bestFit="1" customWidth="1"/>
    <col min="7943" max="7945" width="8.88671875" style="2"/>
    <col min="7946" max="7946" width="13.5546875" style="2" bestFit="1" customWidth="1"/>
    <col min="7947" max="8191" width="8.88671875" style="2"/>
    <col min="8192" max="8192" width="5.109375" style="2" customWidth="1"/>
    <col min="8193" max="8193" width="39.33203125" style="2" bestFit="1" customWidth="1"/>
    <col min="8194" max="8194" width="8.88671875" style="2"/>
    <col min="8195" max="8195" width="16.33203125" style="2" bestFit="1" customWidth="1"/>
    <col min="8196" max="8196" width="15.44140625" style="2" customWidth="1"/>
    <col min="8197" max="8197" width="11.6640625" style="2" customWidth="1"/>
    <col min="8198" max="8198" width="12" style="2" bestFit="1" customWidth="1"/>
    <col min="8199" max="8201" width="8.88671875" style="2"/>
    <col min="8202" max="8202" width="13.5546875" style="2" bestFit="1" customWidth="1"/>
    <col min="8203" max="8447" width="8.88671875" style="2"/>
    <col min="8448" max="8448" width="5.109375" style="2" customWidth="1"/>
    <col min="8449" max="8449" width="39.33203125" style="2" bestFit="1" customWidth="1"/>
    <col min="8450" max="8450" width="8.88671875" style="2"/>
    <col min="8451" max="8451" width="16.33203125" style="2" bestFit="1" customWidth="1"/>
    <col min="8452" max="8452" width="15.44140625" style="2" customWidth="1"/>
    <col min="8453" max="8453" width="11.6640625" style="2" customWidth="1"/>
    <col min="8454" max="8454" width="12" style="2" bestFit="1" customWidth="1"/>
    <col min="8455" max="8457" width="8.88671875" style="2"/>
    <col min="8458" max="8458" width="13.5546875" style="2" bestFit="1" customWidth="1"/>
    <col min="8459" max="8703" width="8.88671875" style="2"/>
    <col min="8704" max="8704" width="5.109375" style="2" customWidth="1"/>
    <col min="8705" max="8705" width="39.33203125" style="2" bestFit="1" customWidth="1"/>
    <col min="8706" max="8706" width="8.88671875" style="2"/>
    <col min="8707" max="8707" width="16.33203125" style="2" bestFit="1" customWidth="1"/>
    <col min="8708" max="8708" width="15.44140625" style="2" customWidth="1"/>
    <col min="8709" max="8709" width="11.6640625" style="2" customWidth="1"/>
    <col min="8710" max="8710" width="12" style="2" bestFit="1" customWidth="1"/>
    <col min="8711" max="8713" width="8.88671875" style="2"/>
    <col min="8714" max="8714" width="13.5546875" style="2" bestFit="1" customWidth="1"/>
    <col min="8715" max="8959" width="8.88671875" style="2"/>
    <col min="8960" max="8960" width="5.109375" style="2" customWidth="1"/>
    <col min="8961" max="8961" width="39.33203125" style="2" bestFit="1" customWidth="1"/>
    <col min="8962" max="8962" width="8.88671875" style="2"/>
    <col min="8963" max="8963" width="16.33203125" style="2" bestFit="1" customWidth="1"/>
    <col min="8964" max="8964" width="15.44140625" style="2" customWidth="1"/>
    <col min="8965" max="8965" width="11.6640625" style="2" customWidth="1"/>
    <col min="8966" max="8966" width="12" style="2" bestFit="1" customWidth="1"/>
    <col min="8967" max="8969" width="8.88671875" style="2"/>
    <col min="8970" max="8970" width="13.5546875" style="2" bestFit="1" customWidth="1"/>
    <col min="8971" max="9215" width="8.88671875" style="2"/>
    <col min="9216" max="9216" width="5.109375" style="2" customWidth="1"/>
    <col min="9217" max="9217" width="39.33203125" style="2" bestFit="1" customWidth="1"/>
    <col min="9218" max="9218" width="8.88671875" style="2"/>
    <col min="9219" max="9219" width="16.33203125" style="2" bestFit="1" customWidth="1"/>
    <col min="9220" max="9220" width="15.44140625" style="2" customWidth="1"/>
    <col min="9221" max="9221" width="11.6640625" style="2" customWidth="1"/>
    <col min="9222" max="9222" width="12" style="2" bestFit="1" customWidth="1"/>
    <col min="9223" max="9225" width="8.88671875" style="2"/>
    <col min="9226" max="9226" width="13.5546875" style="2" bestFit="1" customWidth="1"/>
    <col min="9227" max="9471" width="8.88671875" style="2"/>
    <col min="9472" max="9472" width="5.109375" style="2" customWidth="1"/>
    <col min="9473" max="9473" width="39.33203125" style="2" bestFit="1" customWidth="1"/>
    <col min="9474" max="9474" width="8.88671875" style="2"/>
    <col min="9475" max="9475" width="16.33203125" style="2" bestFit="1" customWidth="1"/>
    <col min="9476" max="9476" width="15.44140625" style="2" customWidth="1"/>
    <col min="9477" max="9477" width="11.6640625" style="2" customWidth="1"/>
    <col min="9478" max="9478" width="12" style="2" bestFit="1" customWidth="1"/>
    <col min="9479" max="9481" width="8.88671875" style="2"/>
    <col min="9482" max="9482" width="13.5546875" style="2" bestFit="1" customWidth="1"/>
    <col min="9483" max="9727" width="8.88671875" style="2"/>
    <col min="9728" max="9728" width="5.109375" style="2" customWidth="1"/>
    <col min="9729" max="9729" width="39.33203125" style="2" bestFit="1" customWidth="1"/>
    <col min="9730" max="9730" width="8.88671875" style="2"/>
    <col min="9731" max="9731" width="16.33203125" style="2" bestFit="1" customWidth="1"/>
    <col min="9732" max="9732" width="15.44140625" style="2" customWidth="1"/>
    <col min="9733" max="9733" width="11.6640625" style="2" customWidth="1"/>
    <col min="9734" max="9734" width="12" style="2" bestFit="1" customWidth="1"/>
    <col min="9735" max="9737" width="8.88671875" style="2"/>
    <col min="9738" max="9738" width="13.5546875" style="2" bestFit="1" customWidth="1"/>
    <col min="9739" max="9983" width="8.88671875" style="2"/>
    <col min="9984" max="9984" width="5.109375" style="2" customWidth="1"/>
    <col min="9985" max="9985" width="39.33203125" style="2" bestFit="1" customWidth="1"/>
    <col min="9986" max="9986" width="8.88671875" style="2"/>
    <col min="9987" max="9987" width="16.33203125" style="2" bestFit="1" customWidth="1"/>
    <col min="9988" max="9988" width="15.44140625" style="2" customWidth="1"/>
    <col min="9989" max="9989" width="11.6640625" style="2" customWidth="1"/>
    <col min="9990" max="9990" width="12" style="2" bestFit="1" customWidth="1"/>
    <col min="9991" max="9993" width="8.88671875" style="2"/>
    <col min="9994" max="9994" width="13.5546875" style="2" bestFit="1" customWidth="1"/>
    <col min="9995" max="10239" width="8.88671875" style="2"/>
    <col min="10240" max="10240" width="5.109375" style="2" customWidth="1"/>
    <col min="10241" max="10241" width="39.33203125" style="2" bestFit="1" customWidth="1"/>
    <col min="10242" max="10242" width="8.88671875" style="2"/>
    <col min="10243" max="10243" width="16.33203125" style="2" bestFit="1" customWidth="1"/>
    <col min="10244" max="10244" width="15.44140625" style="2" customWidth="1"/>
    <col min="10245" max="10245" width="11.6640625" style="2" customWidth="1"/>
    <col min="10246" max="10246" width="12" style="2" bestFit="1" customWidth="1"/>
    <col min="10247" max="10249" width="8.88671875" style="2"/>
    <col min="10250" max="10250" width="13.5546875" style="2" bestFit="1" customWidth="1"/>
    <col min="10251" max="10495" width="8.88671875" style="2"/>
    <col min="10496" max="10496" width="5.109375" style="2" customWidth="1"/>
    <col min="10497" max="10497" width="39.33203125" style="2" bestFit="1" customWidth="1"/>
    <col min="10498" max="10498" width="8.88671875" style="2"/>
    <col min="10499" max="10499" width="16.33203125" style="2" bestFit="1" customWidth="1"/>
    <col min="10500" max="10500" width="15.44140625" style="2" customWidth="1"/>
    <col min="10501" max="10501" width="11.6640625" style="2" customWidth="1"/>
    <col min="10502" max="10502" width="12" style="2" bestFit="1" customWidth="1"/>
    <col min="10503" max="10505" width="8.88671875" style="2"/>
    <col min="10506" max="10506" width="13.5546875" style="2" bestFit="1" customWidth="1"/>
    <col min="10507" max="10751" width="8.88671875" style="2"/>
    <col min="10752" max="10752" width="5.109375" style="2" customWidth="1"/>
    <col min="10753" max="10753" width="39.33203125" style="2" bestFit="1" customWidth="1"/>
    <col min="10754" max="10754" width="8.88671875" style="2"/>
    <col min="10755" max="10755" width="16.33203125" style="2" bestFit="1" customWidth="1"/>
    <col min="10756" max="10756" width="15.44140625" style="2" customWidth="1"/>
    <col min="10757" max="10757" width="11.6640625" style="2" customWidth="1"/>
    <col min="10758" max="10758" width="12" style="2" bestFit="1" customWidth="1"/>
    <col min="10759" max="10761" width="8.88671875" style="2"/>
    <col min="10762" max="10762" width="13.5546875" style="2" bestFit="1" customWidth="1"/>
    <col min="10763" max="11007" width="8.88671875" style="2"/>
    <col min="11008" max="11008" width="5.109375" style="2" customWidth="1"/>
    <col min="11009" max="11009" width="39.33203125" style="2" bestFit="1" customWidth="1"/>
    <col min="11010" max="11010" width="8.88671875" style="2"/>
    <col min="11011" max="11011" width="16.33203125" style="2" bestFit="1" customWidth="1"/>
    <col min="11012" max="11012" width="15.44140625" style="2" customWidth="1"/>
    <col min="11013" max="11013" width="11.6640625" style="2" customWidth="1"/>
    <col min="11014" max="11014" width="12" style="2" bestFit="1" customWidth="1"/>
    <col min="11015" max="11017" width="8.88671875" style="2"/>
    <col min="11018" max="11018" width="13.5546875" style="2" bestFit="1" customWidth="1"/>
    <col min="11019" max="11263" width="8.88671875" style="2"/>
    <col min="11264" max="11264" width="5.109375" style="2" customWidth="1"/>
    <col min="11265" max="11265" width="39.33203125" style="2" bestFit="1" customWidth="1"/>
    <col min="11266" max="11266" width="8.88671875" style="2"/>
    <col min="11267" max="11267" width="16.33203125" style="2" bestFit="1" customWidth="1"/>
    <col min="11268" max="11268" width="15.44140625" style="2" customWidth="1"/>
    <col min="11269" max="11269" width="11.6640625" style="2" customWidth="1"/>
    <col min="11270" max="11270" width="12" style="2" bestFit="1" customWidth="1"/>
    <col min="11271" max="11273" width="8.88671875" style="2"/>
    <col min="11274" max="11274" width="13.5546875" style="2" bestFit="1" customWidth="1"/>
    <col min="11275" max="11519" width="8.88671875" style="2"/>
    <col min="11520" max="11520" width="5.109375" style="2" customWidth="1"/>
    <col min="11521" max="11521" width="39.33203125" style="2" bestFit="1" customWidth="1"/>
    <col min="11522" max="11522" width="8.88671875" style="2"/>
    <col min="11523" max="11523" width="16.33203125" style="2" bestFit="1" customWidth="1"/>
    <col min="11524" max="11524" width="15.44140625" style="2" customWidth="1"/>
    <col min="11525" max="11525" width="11.6640625" style="2" customWidth="1"/>
    <col min="11526" max="11526" width="12" style="2" bestFit="1" customWidth="1"/>
    <col min="11527" max="11529" width="8.88671875" style="2"/>
    <col min="11530" max="11530" width="13.5546875" style="2" bestFit="1" customWidth="1"/>
    <col min="11531" max="11775" width="8.88671875" style="2"/>
    <col min="11776" max="11776" width="5.109375" style="2" customWidth="1"/>
    <col min="11777" max="11777" width="39.33203125" style="2" bestFit="1" customWidth="1"/>
    <col min="11778" max="11778" width="8.88671875" style="2"/>
    <col min="11779" max="11779" width="16.33203125" style="2" bestFit="1" customWidth="1"/>
    <col min="11780" max="11780" width="15.44140625" style="2" customWidth="1"/>
    <col min="11781" max="11781" width="11.6640625" style="2" customWidth="1"/>
    <col min="11782" max="11782" width="12" style="2" bestFit="1" customWidth="1"/>
    <col min="11783" max="11785" width="8.88671875" style="2"/>
    <col min="11786" max="11786" width="13.5546875" style="2" bestFit="1" customWidth="1"/>
    <col min="11787" max="12031" width="8.88671875" style="2"/>
    <col min="12032" max="12032" width="5.109375" style="2" customWidth="1"/>
    <col min="12033" max="12033" width="39.33203125" style="2" bestFit="1" customWidth="1"/>
    <col min="12034" max="12034" width="8.88671875" style="2"/>
    <col min="12035" max="12035" width="16.33203125" style="2" bestFit="1" customWidth="1"/>
    <col min="12036" max="12036" width="15.44140625" style="2" customWidth="1"/>
    <col min="12037" max="12037" width="11.6640625" style="2" customWidth="1"/>
    <col min="12038" max="12038" width="12" style="2" bestFit="1" customWidth="1"/>
    <col min="12039" max="12041" width="8.88671875" style="2"/>
    <col min="12042" max="12042" width="13.5546875" style="2" bestFit="1" customWidth="1"/>
    <col min="12043" max="12287" width="8.88671875" style="2"/>
    <col min="12288" max="12288" width="5.109375" style="2" customWidth="1"/>
    <col min="12289" max="12289" width="39.33203125" style="2" bestFit="1" customWidth="1"/>
    <col min="12290" max="12290" width="8.88671875" style="2"/>
    <col min="12291" max="12291" width="16.33203125" style="2" bestFit="1" customWidth="1"/>
    <col min="12292" max="12292" width="15.44140625" style="2" customWidth="1"/>
    <col min="12293" max="12293" width="11.6640625" style="2" customWidth="1"/>
    <col min="12294" max="12294" width="12" style="2" bestFit="1" customWidth="1"/>
    <col min="12295" max="12297" width="8.88671875" style="2"/>
    <col min="12298" max="12298" width="13.5546875" style="2" bestFit="1" customWidth="1"/>
    <col min="12299" max="12543" width="8.88671875" style="2"/>
    <col min="12544" max="12544" width="5.109375" style="2" customWidth="1"/>
    <col min="12545" max="12545" width="39.33203125" style="2" bestFit="1" customWidth="1"/>
    <col min="12546" max="12546" width="8.88671875" style="2"/>
    <col min="12547" max="12547" width="16.33203125" style="2" bestFit="1" customWidth="1"/>
    <col min="12548" max="12548" width="15.44140625" style="2" customWidth="1"/>
    <col min="12549" max="12549" width="11.6640625" style="2" customWidth="1"/>
    <col min="12550" max="12550" width="12" style="2" bestFit="1" customWidth="1"/>
    <col min="12551" max="12553" width="8.88671875" style="2"/>
    <col min="12554" max="12554" width="13.5546875" style="2" bestFit="1" customWidth="1"/>
    <col min="12555" max="12799" width="8.88671875" style="2"/>
    <col min="12800" max="12800" width="5.109375" style="2" customWidth="1"/>
    <col min="12801" max="12801" width="39.33203125" style="2" bestFit="1" customWidth="1"/>
    <col min="12802" max="12802" width="8.88671875" style="2"/>
    <col min="12803" max="12803" width="16.33203125" style="2" bestFit="1" customWidth="1"/>
    <col min="12804" max="12804" width="15.44140625" style="2" customWidth="1"/>
    <col min="12805" max="12805" width="11.6640625" style="2" customWidth="1"/>
    <col min="12806" max="12806" width="12" style="2" bestFit="1" customWidth="1"/>
    <col min="12807" max="12809" width="8.88671875" style="2"/>
    <col min="12810" max="12810" width="13.5546875" style="2" bestFit="1" customWidth="1"/>
    <col min="12811" max="13055" width="8.88671875" style="2"/>
    <col min="13056" max="13056" width="5.109375" style="2" customWidth="1"/>
    <col min="13057" max="13057" width="39.33203125" style="2" bestFit="1" customWidth="1"/>
    <col min="13058" max="13058" width="8.88671875" style="2"/>
    <col min="13059" max="13059" width="16.33203125" style="2" bestFit="1" customWidth="1"/>
    <col min="13060" max="13060" width="15.44140625" style="2" customWidth="1"/>
    <col min="13061" max="13061" width="11.6640625" style="2" customWidth="1"/>
    <col min="13062" max="13062" width="12" style="2" bestFit="1" customWidth="1"/>
    <col min="13063" max="13065" width="8.88671875" style="2"/>
    <col min="13066" max="13066" width="13.5546875" style="2" bestFit="1" customWidth="1"/>
    <col min="13067" max="13311" width="8.88671875" style="2"/>
    <col min="13312" max="13312" width="5.109375" style="2" customWidth="1"/>
    <col min="13313" max="13313" width="39.33203125" style="2" bestFit="1" customWidth="1"/>
    <col min="13314" max="13314" width="8.88671875" style="2"/>
    <col min="13315" max="13315" width="16.33203125" style="2" bestFit="1" customWidth="1"/>
    <col min="13316" max="13316" width="15.44140625" style="2" customWidth="1"/>
    <col min="13317" max="13317" width="11.6640625" style="2" customWidth="1"/>
    <col min="13318" max="13318" width="12" style="2" bestFit="1" customWidth="1"/>
    <col min="13319" max="13321" width="8.88671875" style="2"/>
    <col min="13322" max="13322" width="13.5546875" style="2" bestFit="1" customWidth="1"/>
    <col min="13323" max="13567" width="8.88671875" style="2"/>
    <col min="13568" max="13568" width="5.109375" style="2" customWidth="1"/>
    <col min="13569" max="13569" width="39.33203125" style="2" bestFit="1" customWidth="1"/>
    <col min="13570" max="13570" width="8.88671875" style="2"/>
    <col min="13571" max="13571" width="16.33203125" style="2" bestFit="1" customWidth="1"/>
    <col min="13572" max="13572" width="15.44140625" style="2" customWidth="1"/>
    <col min="13573" max="13573" width="11.6640625" style="2" customWidth="1"/>
    <col min="13574" max="13574" width="12" style="2" bestFit="1" customWidth="1"/>
    <col min="13575" max="13577" width="8.88671875" style="2"/>
    <col min="13578" max="13578" width="13.5546875" style="2" bestFit="1" customWidth="1"/>
    <col min="13579" max="13823" width="8.88671875" style="2"/>
    <col min="13824" max="13824" width="5.109375" style="2" customWidth="1"/>
    <col min="13825" max="13825" width="39.33203125" style="2" bestFit="1" customWidth="1"/>
    <col min="13826" max="13826" width="8.88671875" style="2"/>
    <col min="13827" max="13827" width="16.33203125" style="2" bestFit="1" customWidth="1"/>
    <col min="13828" max="13828" width="15.44140625" style="2" customWidth="1"/>
    <col min="13829" max="13829" width="11.6640625" style="2" customWidth="1"/>
    <col min="13830" max="13830" width="12" style="2" bestFit="1" customWidth="1"/>
    <col min="13831" max="13833" width="8.88671875" style="2"/>
    <col min="13834" max="13834" width="13.5546875" style="2" bestFit="1" customWidth="1"/>
    <col min="13835" max="14079" width="8.88671875" style="2"/>
    <col min="14080" max="14080" width="5.109375" style="2" customWidth="1"/>
    <col min="14081" max="14081" width="39.33203125" style="2" bestFit="1" customWidth="1"/>
    <col min="14082" max="14082" width="8.88671875" style="2"/>
    <col min="14083" max="14083" width="16.33203125" style="2" bestFit="1" customWidth="1"/>
    <col min="14084" max="14084" width="15.44140625" style="2" customWidth="1"/>
    <col min="14085" max="14085" width="11.6640625" style="2" customWidth="1"/>
    <col min="14086" max="14086" width="12" style="2" bestFit="1" customWidth="1"/>
    <col min="14087" max="14089" width="8.88671875" style="2"/>
    <col min="14090" max="14090" width="13.5546875" style="2" bestFit="1" customWidth="1"/>
    <col min="14091" max="14335" width="8.88671875" style="2"/>
    <col min="14336" max="14336" width="5.109375" style="2" customWidth="1"/>
    <col min="14337" max="14337" width="39.33203125" style="2" bestFit="1" customWidth="1"/>
    <col min="14338" max="14338" width="8.88671875" style="2"/>
    <col min="14339" max="14339" width="16.33203125" style="2" bestFit="1" customWidth="1"/>
    <col min="14340" max="14340" width="15.44140625" style="2" customWidth="1"/>
    <col min="14341" max="14341" width="11.6640625" style="2" customWidth="1"/>
    <col min="14342" max="14342" width="12" style="2" bestFit="1" customWidth="1"/>
    <col min="14343" max="14345" width="8.88671875" style="2"/>
    <col min="14346" max="14346" width="13.5546875" style="2" bestFit="1" customWidth="1"/>
    <col min="14347" max="14591" width="8.88671875" style="2"/>
    <col min="14592" max="14592" width="5.109375" style="2" customWidth="1"/>
    <col min="14593" max="14593" width="39.33203125" style="2" bestFit="1" customWidth="1"/>
    <col min="14594" max="14594" width="8.88671875" style="2"/>
    <col min="14595" max="14595" width="16.33203125" style="2" bestFit="1" customWidth="1"/>
    <col min="14596" max="14596" width="15.44140625" style="2" customWidth="1"/>
    <col min="14597" max="14597" width="11.6640625" style="2" customWidth="1"/>
    <col min="14598" max="14598" width="12" style="2" bestFit="1" customWidth="1"/>
    <col min="14599" max="14601" width="8.88671875" style="2"/>
    <col min="14602" max="14602" width="13.5546875" style="2" bestFit="1" customWidth="1"/>
    <col min="14603" max="14847" width="8.88671875" style="2"/>
    <col min="14848" max="14848" width="5.109375" style="2" customWidth="1"/>
    <col min="14849" max="14849" width="39.33203125" style="2" bestFit="1" customWidth="1"/>
    <col min="14850" max="14850" width="8.88671875" style="2"/>
    <col min="14851" max="14851" width="16.33203125" style="2" bestFit="1" customWidth="1"/>
    <col min="14852" max="14852" width="15.44140625" style="2" customWidth="1"/>
    <col min="14853" max="14853" width="11.6640625" style="2" customWidth="1"/>
    <col min="14854" max="14854" width="12" style="2" bestFit="1" customWidth="1"/>
    <col min="14855" max="14857" width="8.88671875" style="2"/>
    <col min="14858" max="14858" width="13.5546875" style="2" bestFit="1" customWidth="1"/>
    <col min="14859" max="15103" width="8.88671875" style="2"/>
    <col min="15104" max="15104" width="5.109375" style="2" customWidth="1"/>
    <col min="15105" max="15105" width="39.33203125" style="2" bestFit="1" customWidth="1"/>
    <col min="15106" max="15106" width="8.88671875" style="2"/>
    <col min="15107" max="15107" width="16.33203125" style="2" bestFit="1" customWidth="1"/>
    <col min="15108" max="15108" width="15.44140625" style="2" customWidth="1"/>
    <col min="15109" max="15109" width="11.6640625" style="2" customWidth="1"/>
    <col min="15110" max="15110" width="12" style="2" bestFit="1" customWidth="1"/>
    <col min="15111" max="15113" width="8.88671875" style="2"/>
    <col min="15114" max="15114" width="13.5546875" style="2" bestFit="1" customWidth="1"/>
    <col min="15115" max="15359" width="8.88671875" style="2"/>
    <col min="15360" max="15360" width="5.109375" style="2" customWidth="1"/>
    <col min="15361" max="15361" width="39.33203125" style="2" bestFit="1" customWidth="1"/>
    <col min="15362" max="15362" width="8.88671875" style="2"/>
    <col min="15363" max="15363" width="16.33203125" style="2" bestFit="1" customWidth="1"/>
    <col min="15364" max="15364" width="15.44140625" style="2" customWidth="1"/>
    <col min="15365" max="15365" width="11.6640625" style="2" customWidth="1"/>
    <col min="15366" max="15366" width="12" style="2" bestFit="1" customWidth="1"/>
    <col min="15367" max="15369" width="8.88671875" style="2"/>
    <col min="15370" max="15370" width="13.5546875" style="2" bestFit="1" customWidth="1"/>
    <col min="15371" max="15615" width="8.88671875" style="2"/>
    <col min="15616" max="15616" width="5.109375" style="2" customWidth="1"/>
    <col min="15617" max="15617" width="39.33203125" style="2" bestFit="1" customWidth="1"/>
    <col min="15618" max="15618" width="8.88671875" style="2"/>
    <col min="15619" max="15619" width="16.33203125" style="2" bestFit="1" customWidth="1"/>
    <col min="15620" max="15620" width="15.44140625" style="2" customWidth="1"/>
    <col min="15621" max="15621" width="11.6640625" style="2" customWidth="1"/>
    <col min="15622" max="15622" width="12" style="2" bestFit="1" customWidth="1"/>
    <col min="15623" max="15625" width="8.88671875" style="2"/>
    <col min="15626" max="15626" width="13.5546875" style="2" bestFit="1" customWidth="1"/>
    <col min="15627" max="15871" width="8.88671875" style="2"/>
    <col min="15872" max="15872" width="5.109375" style="2" customWidth="1"/>
    <col min="15873" max="15873" width="39.33203125" style="2" bestFit="1" customWidth="1"/>
    <col min="15874" max="15874" width="8.88671875" style="2"/>
    <col min="15875" max="15875" width="16.33203125" style="2" bestFit="1" customWidth="1"/>
    <col min="15876" max="15876" width="15.44140625" style="2" customWidth="1"/>
    <col min="15877" max="15877" width="11.6640625" style="2" customWidth="1"/>
    <col min="15878" max="15878" width="12" style="2" bestFit="1" customWidth="1"/>
    <col min="15879" max="15881" width="8.88671875" style="2"/>
    <col min="15882" max="15882" width="13.5546875" style="2" bestFit="1" customWidth="1"/>
    <col min="15883" max="16127" width="8.88671875" style="2"/>
    <col min="16128" max="16128" width="5.109375" style="2" customWidth="1"/>
    <col min="16129" max="16129" width="39.33203125" style="2" bestFit="1" customWidth="1"/>
    <col min="16130" max="16130" width="8.88671875" style="2"/>
    <col min="16131" max="16131" width="16.33203125" style="2" bestFit="1" customWidth="1"/>
    <col min="16132" max="16132" width="15.44140625" style="2" customWidth="1"/>
    <col min="16133" max="16133" width="11.6640625" style="2" customWidth="1"/>
    <col min="16134" max="16134" width="12" style="2" bestFit="1" customWidth="1"/>
    <col min="16135" max="16137" width="8.88671875" style="2"/>
    <col min="16138" max="16138" width="13.5546875" style="2" bestFit="1" customWidth="1"/>
    <col min="16139" max="16384" width="8.88671875" style="2"/>
  </cols>
  <sheetData>
    <row r="1" spans="1:7" ht="13.8"/>
    <row r="2" spans="1:7">
      <c r="A2" s="33" t="s">
        <v>24</v>
      </c>
      <c r="B2" s="33"/>
      <c r="C2" s="33"/>
      <c r="D2" s="33"/>
      <c r="E2" s="33"/>
      <c r="F2" s="33"/>
    </row>
    <row r="3" spans="1:7" ht="13.8">
      <c r="A3" s="34" t="s">
        <v>0</v>
      </c>
      <c r="B3" s="34"/>
      <c r="C3" s="34"/>
      <c r="D3" s="34"/>
      <c r="E3" s="34"/>
      <c r="F3" s="34"/>
    </row>
    <row r="4" spans="1:7" ht="3.75" customHeight="1">
      <c r="B4" s="4"/>
      <c r="C4" s="4"/>
      <c r="D4" s="4"/>
      <c r="E4" s="4"/>
    </row>
    <row r="5" spans="1:7" ht="21" customHeight="1">
      <c r="A5" s="40" t="s">
        <v>1</v>
      </c>
      <c r="B5" s="40"/>
      <c r="C5" s="35" t="s">
        <v>25</v>
      </c>
      <c r="D5" s="35"/>
      <c r="E5" s="38">
        <v>4000</v>
      </c>
      <c r="F5" s="38"/>
    </row>
    <row r="6" spans="1:7" ht="21" customHeight="1">
      <c r="A6" s="39" t="s">
        <v>27</v>
      </c>
      <c r="B6" s="39"/>
      <c r="C6" s="2"/>
      <c r="E6" s="3"/>
    </row>
    <row r="7" spans="1:7" ht="21" customHeight="1" thickBot="1">
      <c r="A7" s="5"/>
      <c r="B7" s="5"/>
      <c r="C7" s="2"/>
      <c r="E7" s="3"/>
    </row>
    <row r="8" spans="1:7" ht="17.399999999999999" customHeight="1">
      <c r="A8" s="36"/>
      <c r="B8" s="37"/>
      <c r="C8" s="9" t="s">
        <v>2</v>
      </c>
      <c r="D8" s="10" t="s">
        <v>3</v>
      </c>
      <c r="E8" s="10" t="s">
        <v>4</v>
      </c>
      <c r="F8" s="16" t="s">
        <v>5</v>
      </c>
    </row>
    <row r="9" spans="1:7" ht="17.399999999999999" customHeight="1">
      <c r="A9" s="26" t="s">
        <v>26</v>
      </c>
      <c r="B9" s="27"/>
      <c r="C9" s="11"/>
      <c r="D9" s="12">
        <f>SUM(D10:D14)</f>
        <v>0</v>
      </c>
      <c r="E9" s="12">
        <f>SUM(E10:E14)</f>
        <v>0</v>
      </c>
      <c r="F9" s="22">
        <f>E9+(D9/E5)</f>
        <v>0</v>
      </c>
      <c r="G9" s="6"/>
    </row>
    <row r="10" spans="1:7" ht="17.399999999999999" customHeight="1">
      <c r="A10" s="25"/>
      <c r="B10" s="13" t="s">
        <v>6</v>
      </c>
      <c r="C10" s="13"/>
      <c r="D10" s="17"/>
      <c r="E10" s="17"/>
      <c r="F10" s="18">
        <f>(D10/4000)+E10</f>
        <v>0</v>
      </c>
    </row>
    <row r="11" spans="1:7" ht="17.399999999999999" customHeight="1">
      <c r="A11" s="25"/>
      <c r="B11" s="13" t="s">
        <v>7</v>
      </c>
      <c r="C11" s="13"/>
      <c r="D11" s="17"/>
      <c r="E11" s="17"/>
      <c r="F11" s="18">
        <f t="shared" ref="F11:F14" si="0">(D11/4000)+E11</f>
        <v>0</v>
      </c>
    </row>
    <row r="12" spans="1:7" ht="17.399999999999999" customHeight="1">
      <c r="A12" s="25"/>
      <c r="B12" s="13" t="s">
        <v>8</v>
      </c>
      <c r="C12" s="13"/>
      <c r="D12" s="17"/>
      <c r="E12" s="17"/>
      <c r="F12" s="18">
        <f t="shared" si="0"/>
        <v>0</v>
      </c>
    </row>
    <row r="13" spans="1:7" ht="17.399999999999999" customHeight="1">
      <c r="A13" s="25"/>
      <c r="B13" s="13" t="s">
        <v>23</v>
      </c>
      <c r="C13" s="13"/>
      <c r="D13" s="17"/>
      <c r="E13" s="17"/>
      <c r="F13" s="18">
        <f t="shared" si="0"/>
        <v>0</v>
      </c>
    </row>
    <row r="14" spans="1:7" ht="17.399999999999999" customHeight="1">
      <c r="A14" s="25"/>
      <c r="B14" s="13" t="s">
        <v>9</v>
      </c>
      <c r="C14" s="13"/>
      <c r="D14" s="17"/>
      <c r="E14" s="17"/>
      <c r="F14" s="18">
        <f t="shared" si="0"/>
        <v>0</v>
      </c>
    </row>
    <row r="15" spans="1:7" ht="17.399999999999999" customHeight="1">
      <c r="A15" s="26" t="s">
        <v>10</v>
      </c>
      <c r="B15" s="27"/>
      <c r="C15" s="11"/>
      <c r="D15" s="19">
        <f>SUM(D16:D19)</f>
        <v>0</v>
      </c>
      <c r="E15" s="19">
        <f>SUM(E16:E19)</f>
        <v>0</v>
      </c>
      <c r="F15" s="20">
        <f>E15+(D15/E5)</f>
        <v>0</v>
      </c>
    </row>
    <row r="16" spans="1:7" ht="17.399999999999999" customHeight="1">
      <c r="A16" s="25"/>
      <c r="B16" s="13" t="s">
        <v>11</v>
      </c>
      <c r="C16" s="13"/>
      <c r="D16" s="17"/>
      <c r="E16" s="17"/>
      <c r="F16" s="18">
        <f>(D16/4000)+E16</f>
        <v>0</v>
      </c>
    </row>
    <row r="17" spans="1:10" ht="17.399999999999999" customHeight="1">
      <c r="A17" s="25"/>
      <c r="B17" s="13" t="s">
        <v>12</v>
      </c>
      <c r="C17" s="13"/>
      <c r="D17" s="17"/>
      <c r="E17" s="17"/>
      <c r="F17" s="18">
        <f t="shared" ref="F17:F19" si="1">(D17/4000)+E17</f>
        <v>0</v>
      </c>
    </row>
    <row r="18" spans="1:10" ht="17.399999999999999" customHeight="1">
      <c r="A18" s="25"/>
      <c r="B18" s="13" t="s">
        <v>13</v>
      </c>
      <c r="C18" s="13"/>
      <c r="D18" s="17"/>
      <c r="E18" s="17"/>
      <c r="F18" s="18">
        <f t="shared" si="1"/>
        <v>0</v>
      </c>
    </row>
    <row r="19" spans="1:10" ht="17.399999999999999" customHeight="1">
      <c r="A19" s="25"/>
      <c r="B19" s="13" t="s">
        <v>14</v>
      </c>
      <c r="C19" s="13"/>
      <c r="D19" s="17"/>
      <c r="E19" s="17"/>
      <c r="F19" s="18">
        <f t="shared" si="1"/>
        <v>0</v>
      </c>
    </row>
    <row r="20" spans="1:10" ht="17.399999999999999" customHeight="1">
      <c r="A20" s="26" t="s">
        <v>15</v>
      </c>
      <c r="B20" s="27"/>
      <c r="C20" s="11"/>
      <c r="D20" s="19">
        <f>SUM(D21:D28)</f>
        <v>0</v>
      </c>
      <c r="E20" s="19">
        <v>0</v>
      </c>
      <c r="F20" s="20">
        <f>E20+(D20/E5)</f>
        <v>0</v>
      </c>
    </row>
    <row r="21" spans="1:10" ht="17.399999999999999" customHeight="1">
      <c r="A21" s="32"/>
      <c r="B21" s="13" t="s">
        <v>16</v>
      </c>
      <c r="C21" s="13"/>
      <c r="D21" s="17"/>
      <c r="E21" s="17"/>
      <c r="F21" s="18">
        <f>(D21/4000)+E21</f>
        <v>0</v>
      </c>
    </row>
    <row r="22" spans="1:10" ht="17.399999999999999" customHeight="1">
      <c r="A22" s="32"/>
      <c r="B22" s="13" t="s">
        <v>17</v>
      </c>
      <c r="C22" s="13"/>
      <c r="D22" s="17"/>
      <c r="E22" s="17"/>
      <c r="F22" s="18">
        <f t="shared" ref="F22:F28" si="2">(D22/4000)+E22</f>
        <v>0</v>
      </c>
    </row>
    <row r="23" spans="1:10" ht="17.399999999999999" customHeight="1">
      <c r="A23" s="32"/>
      <c r="B23" s="13" t="s">
        <v>28</v>
      </c>
      <c r="C23" s="13"/>
      <c r="D23" s="17"/>
      <c r="E23" s="17"/>
      <c r="F23" s="18">
        <f>(D23/4000)+E23</f>
        <v>0</v>
      </c>
    </row>
    <row r="24" spans="1:10" ht="17.399999999999999" customHeight="1">
      <c r="A24" s="32"/>
      <c r="B24" s="13" t="s">
        <v>29</v>
      </c>
      <c r="C24" s="13"/>
      <c r="D24" s="17"/>
      <c r="E24" s="17"/>
      <c r="F24" s="18">
        <f t="shared" si="2"/>
        <v>0</v>
      </c>
    </row>
    <row r="25" spans="1:10" ht="17.399999999999999" customHeight="1">
      <c r="A25" s="32"/>
      <c r="B25" s="13" t="s">
        <v>30</v>
      </c>
      <c r="C25" s="13"/>
      <c r="D25" s="17"/>
      <c r="E25" s="17"/>
      <c r="F25" s="18">
        <f t="shared" si="2"/>
        <v>0</v>
      </c>
      <c r="J25" s="6"/>
    </row>
    <row r="26" spans="1:10" ht="17.399999999999999" customHeight="1">
      <c r="A26" s="32"/>
      <c r="B26" s="13"/>
      <c r="C26" s="13"/>
      <c r="D26" s="17"/>
      <c r="E26" s="17"/>
      <c r="F26" s="18">
        <f t="shared" si="2"/>
        <v>0</v>
      </c>
      <c r="J26" s="6"/>
    </row>
    <row r="27" spans="1:10" ht="17.399999999999999" customHeight="1">
      <c r="A27" s="32"/>
      <c r="B27" s="13"/>
      <c r="C27" s="13"/>
      <c r="D27" s="17"/>
      <c r="E27" s="17"/>
      <c r="F27" s="18">
        <f t="shared" si="2"/>
        <v>0</v>
      </c>
      <c r="J27" s="6"/>
    </row>
    <row r="28" spans="1:10" ht="17.399999999999999" customHeight="1">
      <c r="A28" s="32"/>
      <c r="B28" s="13" t="s">
        <v>31</v>
      </c>
      <c r="C28" s="13"/>
      <c r="D28" s="17"/>
      <c r="E28" s="17"/>
      <c r="F28" s="18">
        <f t="shared" si="2"/>
        <v>0</v>
      </c>
    </row>
    <row r="29" spans="1:10" ht="17.399999999999999" customHeight="1">
      <c r="A29" s="26" t="s">
        <v>18</v>
      </c>
      <c r="B29" s="27"/>
      <c r="C29" s="11"/>
      <c r="D29" s="21">
        <f>SUM(D30:D32)</f>
        <v>0</v>
      </c>
      <c r="E29" s="21">
        <f>SUM(E30:E32)</f>
        <v>0</v>
      </c>
      <c r="F29" s="22">
        <f>E29+(D29/E5)</f>
        <v>0</v>
      </c>
    </row>
    <row r="30" spans="1:10" ht="17.399999999999999" customHeight="1">
      <c r="A30" s="25"/>
      <c r="B30" s="13"/>
      <c r="C30" s="13"/>
      <c r="D30" s="17"/>
      <c r="E30" s="17"/>
      <c r="F30" s="18">
        <f>(D30/4000)+E30</f>
        <v>0</v>
      </c>
    </row>
    <row r="31" spans="1:10" ht="17.399999999999999" customHeight="1">
      <c r="A31" s="25"/>
      <c r="B31" s="13"/>
      <c r="C31" s="13"/>
      <c r="D31" s="17"/>
      <c r="E31" s="17"/>
      <c r="F31" s="18">
        <f t="shared" ref="F31:F32" si="3">(D31/4000)+E31</f>
        <v>0</v>
      </c>
    </row>
    <row r="32" spans="1:10" ht="17.399999999999999" customHeight="1">
      <c r="A32" s="25"/>
      <c r="B32" s="13"/>
      <c r="C32" s="13"/>
      <c r="D32" s="17"/>
      <c r="E32" s="17"/>
      <c r="F32" s="18">
        <f t="shared" si="3"/>
        <v>0</v>
      </c>
    </row>
    <row r="33" spans="1:9" ht="17.399999999999999" customHeight="1">
      <c r="A33" s="26" t="s">
        <v>19</v>
      </c>
      <c r="B33" s="27"/>
      <c r="C33" s="11"/>
      <c r="D33" s="21">
        <f>D20-D29</f>
        <v>0</v>
      </c>
      <c r="E33" s="21">
        <f>E20-E29</f>
        <v>0</v>
      </c>
      <c r="F33" s="22">
        <f>F20-F29</f>
        <v>0</v>
      </c>
    </row>
    <row r="34" spans="1:9" ht="17.399999999999999" customHeight="1">
      <c r="A34" s="14"/>
      <c r="B34" s="13" t="s">
        <v>20</v>
      </c>
      <c r="C34" s="13"/>
      <c r="D34" s="17"/>
      <c r="E34" s="17"/>
      <c r="F34" s="18">
        <f>E34+(D34/$E$5)</f>
        <v>0</v>
      </c>
    </row>
    <row r="35" spans="1:9" ht="17.399999999999999" customHeight="1" thickBot="1">
      <c r="A35" s="28" t="s">
        <v>21</v>
      </c>
      <c r="B35" s="29"/>
      <c r="C35" s="15"/>
      <c r="D35" s="23">
        <f>D33-D34</f>
        <v>0</v>
      </c>
      <c r="E35" s="23">
        <f t="shared" ref="E35:F35" si="4">E33-E34</f>
        <v>0</v>
      </c>
      <c r="F35" s="24">
        <f t="shared" si="4"/>
        <v>0</v>
      </c>
      <c r="I35" s="7"/>
    </row>
    <row r="36" spans="1:9" ht="17.399999999999999" customHeight="1"/>
    <row r="37" spans="1:9" ht="27" customHeight="1">
      <c r="C37" s="30" t="s">
        <v>32</v>
      </c>
      <c r="D37" s="30"/>
      <c r="E37" s="30"/>
      <c r="F37" s="30"/>
    </row>
    <row r="38" spans="1:9" ht="27.75" customHeight="1">
      <c r="C38" s="31" t="s">
        <v>22</v>
      </c>
      <c r="D38" s="31"/>
      <c r="E38" s="31"/>
      <c r="F38" s="31"/>
    </row>
  </sheetData>
  <mergeCells count="19">
    <mergeCell ref="A10:A14"/>
    <mergeCell ref="A2:F2"/>
    <mergeCell ref="A3:F3"/>
    <mergeCell ref="C5:D5"/>
    <mergeCell ref="A8:B8"/>
    <mergeCell ref="A9:B9"/>
    <mergeCell ref="E5:F5"/>
    <mergeCell ref="A6:B6"/>
    <mergeCell ref="A5:B5"/>
    <mergeCell ref="A15:B15"/>
    <mergeCell ref="A16:A19"/>
    <mergeCell ref="A20:B20"/>
    <mergeCell ref="A21:A28"/>
    <mergeCell ref="A29:B29"/>
    <mergeCell ref="A30:A32"/>
    <mergeCell ref="A33:B33"/>
    <mergeCell ref="A35:B35"/>
    <mergeCell ref="C37:F37"/>
    <mergeCell ref="C38:F38"/>
  </mergeCells>
  <conditionalFormatting sqref="D9:F35">
    <cfRule type="cellIs" dxfId="0" priority="1" operator="lessThan">
      <formula>0</formula>
    </cfRule>
  </conditionalFormatting>
  <pageMargins left="0.83" right="0.41" top="0.75" bottom="0.75" header="0.3" footer="0.3"/>
  <pageSetup paperSize="9" scale="82" fitToHeight="0" orientation="portrait" verticalDpi="1200" r:id="rId1"/>
  <ignoredErrors>
    <ignoredError sqref="E15" formulaRange="1"/>
    <ignoredError sqref="F20 F15 F2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Monyroth Sary</dc:creator>
  <cp:lastModifiedBy>Dell</cp:lastModifiedBy>
  <cp:lastPrinted>2017-12-18T10:20:28Z</cp:lastPrinted>
  <dcterms:created xsi:type="dcterms:W3CDTF">2017-12-08T07:29:36Z</dcterms:created>
  <dcterms:modified xsi:type="dcterms:W3CDTF">2020-01-28T03:07:00Z</dcterms:modified>
</cp:coreProperties>
</file>