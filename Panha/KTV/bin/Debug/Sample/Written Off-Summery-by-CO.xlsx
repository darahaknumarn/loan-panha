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Somnang\Dropbox\My PC (DESKTOP-H5247CG)\Desktop\"/>
    </mc:Choice>
  </mc:AlternateContent>
  <xr:revisionPtr revIDLastSave="0" documentId="13_ncr:1_{5340AE80-B6C7-4E7D-95FE-453925C57B80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12" i="1" l="1"/>
  <c r="M12" i="1"/>
  <c r="N12" i="1"/>
  <c r="O12" i="1"/>
  <c r="P12" i="1"/>
  <c r="Q12" i="1"/>
  <c r="R12" i="1"/>
  <c r="F12" i="1"/>
  <c r="E12" i="1"/>
  <c r="E10" i="1"/>
  <c r="F10" i="1"/>
  <c r="E11" i="1"/>
  <c r="F11" i="1"/>
  <c r="F9" i="1"/>
  <c r="E9" i="1"/>
  <c r="D9" i="1"/>
  <c r="G12" i="1" l="1"/>
  <c r="H12" i="1"/>
  <c r="I12" i="1"/>
  <c r="J12" i="1"/>
  <c r="K12" i="1"/>
  <c r="D10" i="1"/>
  <c r="D11" i="1"/>
  <c r="D12" i="1" l="1"/>
  <c r="C12" i="1"/>
</calcChain>
</file>

<file path=xl/sharedStrings.xml><?xml version="1.0" encoding="utf-8"?>
<sst xmlns="http://schemas.openxmlformats.org/spreadsheetml/2006/main" count="29" uniqueCount="17">
  <si>
    <t>ក្រុមហ៊ុន មរកត អ៊ែកធីវ ឃែភីថល ឯ.ក</t>
  </si>
  <si>
    <t>MOROKOT ACTIVE CAPITAL CO.,LTD</t>
  </si>
  <si>
    <t xml:space="preserve">Date: </t>
  </si>
  <si>
    <t>កូដសាខា</t>
  </si>
  <si>
    <t>កូដបុគ្គលិក</t>
  </si>
  <si>
    <t>ឈ្មោះបុគ្គលិក</t>
  </si>
  <si>
    <t>ឥណទានថ្ងៃ</t>
  </si>
  <si>
    <t>ឥណទានខែ</t>
  </si>
  <si>
    <t>សប្ដាហ៍</t>
  </si>
  <si>
    <t>ពីរសប្ដាហ៍</t>
  </si>
  <si>
    <t>របាយការណ៍សង្ខេបស្ដីពីចំនួន និងទឹកប្រាក់បំណុលខ្មៅរបស់មន្ដ្រីឥណទានតាមការិយាល័យ</t>
  </si>
  <si>
    <t>ចំនួនបំណុលខ្មៅ</t>
  </si>
  <si>
    <t>ចំនួនទឹកប្រាក់បំណុលខ្មៅ</t>
  </si>
  <si>
    <t>ចំនួនអតិ.ជន</t>
  </si>
  <si>
    <t>ប្រាក់ដើមយឺត</t>
  </si>
  <si>
    <t>ទឹកប្រាក់យឺត</t>
  </si>
  <si>
    <t>សរុប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</si>
</sst>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00#"/>
    <numFmt numFmtId="166" formatCode="000#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2060"/>
      <name val="Kh Koulen"/>
    </font>
    <font>
      <sz val="16"/>
      <color rgb="FF002060"/>
      <name val="Kh KoulenL"/>
    </font>
    <font>
      <sz val="11"/>
      <color rgb="FF002060"/>
      <name val="Calibri"/>
      <family val="2"/>
      <scheme val="minor"/>
    </font>
    <font>
      <sz val="8"/>
      <color rgb="FF002060"/>
      <name val="Khmer OS"/>
    </font>
    <font>
      <b/>
      <sz val="8"/>
      <color rgb="FF002060"/>
      <name val="Khmer OS"/>
    </font>
    <font>
      <b/>
      <sz val="8"/>
      <color rgb="FF002060"/>
      <name val="Khmer Kep"/>
    </font>
    <font>
      <sz val="16"/>
      <color rgb="FFC00000"/>
      <name val="Kh KoulenL"/>
    </font>
    <font>
      <b/>
      <i/>
      <sz val="9"/>
      <color rgb="FF002060"/>
      <name val="Khmer OS"/>
    </font>
    <font>
      <b/>
      <sz val="11"/>
      <color rgb="FF002060"/>
      <name val="Times New Roman"/>
      <family val="1"/>
    </font>
    <font>
      <b/>
      <i/>
      <sz val="8"/>
      <color rgb="FF002060"/>
      <name val="Khmer OS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1454817346722"/>
      </left>
      <right style="thin">
        <color theme="5" tint="0.39994506668294322"/>
      </right>
      <top style="double">
        <color theme="5" tint="0.399914548173467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 style="thin">
        <color theme="5" tint="0.39994506668294322"/>
      </top>
      <bottom/>
      <diagonal/>
    </border>
    <border>
      <left style="thin">
        <color theme="5" tint="0.39994506668294322"/>
      </left>
      <right style="thin">
        <color theme="5" tint="0.39994506668294322"/>
      </right>
      <top style="double">
        <color theme="5" tint="0.39991454817346722"/>
      </top>
      <bottom style="thin">
        <color theme="5" tint="0.39994506668294322"/>
      </bottom>
      <diagonal/>
    </border>
    <border>
      <left style="thin">
        <color theme="5" tint="0.39994506668294322"/>
      </left>
      <right/>
      <top style="thin">
        <color theme="5" tint="0.39994506668294322"/>
      </top>
      <bottom style="thin">
        <color theme="5" tint="0.39994506668294322"/>
      </bottom>
      <diagonal/>
    </border>
    <border>
      <left/>
      <right/>
      <top style="thin">
        <color theme="5" tint="0.39994506668294322"/>
      </top>
      <bottom style="thin">
        <color theme="5" tint="0.39994506668294322"/>
      </bottom>
      <diagonal/>
    </border>
    <border>
      <left/>
      <right style="thin">
        <color theme="5" tint="0.39994506668294322"/>
      </right>
      <top style="thin">
        <color theme="5" tint="0.39994506668294322"/>
      </top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 style="thin">
        <color theme="5" tint="0.39994506668294322"/>
      </bottom>
      <diagonal/>
    </border>
    <border>
      <left style="thin">
        <color theme="5" tint="0.39994506668294322"/>
      </left>
      <right style="thin">
        <color theme="5" tint="0.39994506668294322"/>
      </right>
      <top/>
      <bottom/>
      <diagonal/>
    </border>
    <border>
      <left style="thin">
        <color theme="5" tint="0.39991454817346722"/>
      </left>
      <right/>
      <top style="thin">
        <color theme="5" tint="0.39991454817346722"/>
      </top>
      <bottom style="thin">
        <color theme="5" tint="0.39991454817346722"/>
      </bottom>
      <diagonal/>
    </border>
    <border>
      <left/>
      <right/>
      <top style="thin">
        <color theme="5" tint="0.39991454817346722"/>
      </top>
      <bottom style="thin">
        <color theme="5" tint="0.39991454817346722"/>
      </bottom>
      <diagonal/>
    </border>
    <border>
      <left/>
      <right style="thin">
        <color theme="5" tint="0.39991454817346722"/>
      </right>
      <top style="thin">
        <color theme="5" tint="0.39991454817346722"/>
      </top>
      <bottom style="thin">
        <color theme="5" tint="0.39991454817346722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4" fillId="0" borderId="0" xfId="0" applyFont="1"/>
    <xf numFmtId="0" fontId="4" fillId="0" borderId="0" xfId="0" applyFont="1" applyAlignment="1">
      <alignment vertical="top"/>
    </xf>
    <xf numFmtId="0" fontId="4" fillId="0" borderId="0" xfId="0" applyFont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vertical="center"/>
    </xf>
    <xf numFmtId="167" fontId="5" fillId="3" borderId="1" xfId="1" applyNumberFormat="1" applyFont="1" applyFill="1" applyBorder="1" applyAlignment="1">
      <alignment vertical="center"/>
    </xf>
    <xf numFmtId="167" fontId="5" fillId="3" borderId="1" xfId="1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6" fontId="5" fillId="3" borderId="3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vertical="center"/>
    </xf>
    <xf numFmtId="167" fontId="5" fillId="3" borderId="3" xfId="1" applyNumberFormat="1" applyFont="1" applyFill="1" applyBorder="1" applyAlignment="1">
      <alignment vertical="center"/>
    </xf>
    <xf numFmtId="167" fontId="5" fillId="3" borderId="3" xfId="1" applyNumberFormat="1" applyFont="1" applyFill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/>
    </xf>
    <xf numFmtId="166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167" fontId="7" fillId="0" borderId="4" xfId="1" applyNumberFormat="1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4" borderId="6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top"/>
    </xf>
    <xf numFmtId="0" fontId="2" fillId="5" borderId="7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110067</xdr:colOff>
      <xdr:row>0</xdr:row>
      <xdr:rowOff>47364</xdr:rowOff>
    </xdr:from>
    <xdr:to>
      <xdr:col>7</xdr:col>
      <xdr:colOff>4233</xdr:colOff>
      <xdr:row>2</xdr:row>
      <xdr:rowOff>22720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367" y="47364"/>
          <a:ext cx="1515533" cy="5849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2"/>
  <sheetViews>
    <sheetView showGridLines="0" tabSelected="1" topLeftCell="C1" workbookViewId="0">
      <selection activeCell="N15" sqref="N15"/>
    </sheetView>
  </sheetViews>
  <sheetFormatPr defaultColWidth="9.1171875" defaultRowHeight="14.35" x14ac:dyDescent="0.5"/>
  <cols>
    <col min="1" max="1" width="8.703125" style="1" customWidth="1"/>
    <col min="2" max="2" width="9" style="1" customWidth="1"/>
    <col min="3" max="3" width="15.87890625" style="1" customWidth="1"/>
    <col min="4" max="4" width="8.29296875" style="1" customWidth="1"/>
    <col min="5" max="6" width="14.41015625" style="1" customWidth="1"/>
    <col min="7" max="10" width="8.1171875" style="1" customWidth="1"/>
    <col min="11" max="18" width="13.29296875" style="1" customWidth="1"/>
    <col min="19" max="16384" width="9.1171875" style="1"/>
  </cols>
  <sheetData>
    <row r="1" spans="1:18" ht="33.700000000000003" x14ac:dyDescent="2.049999999999999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x14ac:dyDescent="0.5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4" spans="1:18" ht="33.700000000000003" x14ac:dyDescent="2.0499999999999998">
      <c r="A4" s="20" t="s">
        <v>10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8.25" customHeight="1" x14ac:dyDescent="0.5"/>
    <row r="6" spans="1:18" ht="17" x14ac:dyDescent="0.5">
      <c r="A6" s="24" t="s">
        <v>2</v>
      </c>
      <c r="B6" s="24"/>
      <c r="C6" s="24"/>
      <c r="D6" s="24"/>
      <c r="E6" s="24"/>
      <c r="F6" s="19"/>
      <c r="G6" s="30" t="s">
        <v>11</v>
      </c>
      <c r="H6" s="31"/>
      <c r="I6" s="31"/>
      <c r="J6" s="32"/>
      <c r="K6" s="23" t="s">
        <v>12</v>
      </c>
      <c r="L6" s="23"/>
      <c r="M6" s="23"/>
      <c r="N6" s="23"/>
      <c r="O6" s="23"/>
      <c r="P6" s="23"/>
      <c r="Q6" s="23"/>
      <c r="R6" s="23"/>
    </row>
    <row r="7" spans="1:18" s="2" customFormat="1" ht="17" x14ac:dyDescent="0.5">
      <c r="A7" s="25" t="s">
        <v>3</v>
      </c>
      <c r="B7" s="25" t="s">
        <v>4</v>
      </c>
      <c r="C7" s="25" t="s">
        <v>5</v>
      </c>
      <c r="D7" s="27" t="s">
        <v>16</v>
      </c>
      <c r="E7" s="29"/>
      <c r="F7" s="28"/>
      <c r="G7" s="36" t="s">
        <v>6</v>
      </c>
      <c r="H7" s="36" t="s">
        <v>8</v>
      </c>
      <c r="I7" s="36" t="s">
        <v>9</v>
      </c>
      <c r="J7" s="36" t="s">
        <v>7</v>
      </c>
      <c r="K7" s="33" t="s">
        <v>6</v>
      </c>
      <c r="L7" s="34"/>
      <c r="M7" s="33" t="s">
        <v>8</v>
      </c>
      <c r="N7" s="34"/>
      <c r="O7" s="35" t="s">
        <v>9</v>
      </c>
      <c r="P7" s="35"/>
      <c r="Q7" s="35" t="s">
        <v>7</v>
      </c>
      <c r="R7" s="35"/>
    </row>
    <row r="8" spans="1:18" s="3" customFormat="1" ht="18" customHeight="1" x14ac:dyDescent="0.5">
      <c r="A8" s="25"/>
      <c r="B8" s="25"/>
      <c r="C8" s="25"/>
      <c r="D8" s="18" t="s">
        <v>13</v>
      </c>
      <c r="E8" s="26" t="s">
        <v>15</v>
      </c>
      <c r="F8" s="26" t="s">
        <v>14</v>
      </c>
      <c r="G8" s="37"/>
      <c r="H8" s="37"/>
      <c r="I8" s="37"/>
      <c r="J8" s="37"/>
      <c r="K8" s="26" t="s">
        <v>15</v>
      </c>
      <c r="L8" s="26" t="s">
        <v>14</v>
      </c>
      <c r="M8" s="26" t="s">
        <v>15</v>
      </c>
      <c r="N8" s="26" t="s">
        <v>14</v>
      </c>
      <c r="O8" s="26" t="s">
        <v>15</v>
      </c>
      <c r="P8" s="26" t="s">
        <v>14</v>
      </c>
      <c r="Q8" s="26" t="s">
        <v>15</v>
      </c>
      <c r="R8" s="26" t="s">
        <v>14</v>
      </c>
    </row>
    <row r="9" spans="1:18" ht="21.95" customHeight="1" x14ac:dyDescent="0.5">
      <c r="A9" s="4"/>
      <c r="B9" s="5"/>
      <c r="C9" s="6"/>
      <c r="D9" s="7">
        <f>SUM(G9,H9,I9,J9)</f>
        <v>0</v>
      </c>
      <c r="E9" s="7">
        <f>SUM(K9,M9,O9,Q9)</f>
        <v>500000000</v>
      </c>
      <c r="F9" s="7">
        <f>SUM(L9,N9,P9,R9)</f>
        <v>0</v>
      </c>
      <c r="G9" s="7"/>
      <c r="H9" s="7"/>
      <c r="I9" s="7"/>
      <c r="J9" s="7"/>
      <c r="K9" s="7">
        <v>500000000</v>
      </c>
      <c r="L9" s="7"/>
      <c r="M9" s="7"/>
      <c r="N9" s="7"/>
      <c r="O9" s="8"/>
      <c r="P9" s="8"/>
      <c r="Q9" s="7"/>
      <c r="R9" s="7"/>
    </row>
    <row r="10" spans="1:18" ht="21.95" customHeight="1" x14ac:dyDescent="0.5">
      <c r="A10" s="4"/>
      <c r="B10" s="5"/>
      <c r="C10" s="6"/>
      <c r="D10" s="7">
        <f>SUM(G10,H10,I10,J10)</f>
        <v>0</v>
      </c>
      <c r="E10" s="7">
        <f t="shared" ref="E10:E11" si="0">SUM(K10,M10,O10,Q10)</f>
        <v>0</v>
      </c>
      <c r="F10" s="7">
        <f t="shared" ref="F10:F11" si="1">SUM(L10,N10,P10,R10)</f>
        <v>0</v>
      </c>
      <c r="G10" s="7"/>
      <c r="H10" s="7"/>
      <c r="I10" s="7"/>
      <c r="J10" s="7"/>
      <c r="K10" s="7"/>
      <c r="L10" s="7"/>
      <c r="M10" s="7"/>
      <c r="N10" s="7"/>
      <c r="O10" s="8"/>
      <c r="P10" s="8"/>
      <c r="Q10" s="7"/>
      <c r="R10" s="7"/>
    </row>
    <row r="11" spans="1:18" ht="21.95" customHeight="1" thickBot="1" x14ac:dyDescent="0.55000000000000004">
      <c r="A11" s="9"/>
      <c r="B11" s="10"/>
      <c r="C11" s="11"/>
      <c r="D11" s="12">
        <f>SUM(G11,H11,I11,J11)</f>
        <v>0</v>
      </c>
      <c r="E11" s="7">
        <f t="shared" si="0"/>
        <v>0</v>
      </c>
      <c r="F11" s="7">
        <f t="shared" si="1"/>
        <v>0</v>
      </c>
      <c r="G11" s="12"/>
      <c r="H11" s="12"/>
      <c r="I11" s="12"/>
      <c r="J11" s="12"/>
      <c r="K11" s="12"/>
      <c r="L11" s="12"/>
      <c r="M11" s="12"/>
      <c r="N11" s="12"/>
      <c r="O11" s="13"/>
      <c r="P11" s="13"/>
      <c r="Q11" s="12"/>
      <c r="R11" s="12"/>
    </row>
    <row r="12" spans="1:18" ht="21.7" thickTop="1" x14ac:dyDescent="0.85">
      <c r="A12" s="14"/>
      <c r="B12" s="15"/>
      <c r="C12" s="16">
        <f>SUBTOTAL(103,Sheet1!$C$9:$C$11)</f>
        <v>0</v>
      </c>
      <c r="D12" s="17">
        <f>SUM(D9:D11)</f>
        <v>0</v>
      </c>
      <c r="E12" s="17">
        <f>SUM(E9:E11)</f>
        <v>500000000</v>
      </c>
      <c r="F12" s="17">
        <f>SUM(F9:F11)</f>
        <v>0</v>
      </c>
      <c r="G12" s="17">
        <f t="shared" ref="G12:R12" si="2">SUM(G9:G11)</f>
        <v>0</v>
      </c>
      <c r="H12" s="17">
        <f t="shared" si="2"/>
        <v>0</v>
      </c>
      <c r="I12" s="17">
        <f t="shared" si="2"/>
        <v>0</v>
      </c>
      <c r="J12" s="17">
        <f t="shared" si="2"/>
        <v>0</v>
      </c>
      <c r="K12" s="17">
        <f t="shared" si="2"/>
        <v>500000000</v>
      </c>
      <c r="L12" s="17">
        <f t="shared" si="2"/>
        <v>0</v>
      </c>
      <c r="M12" s="17">
        <f t="shared" si="2"/>
        <v>0</v>
      </c>
      <c r="N12" s="17">
        <f t="shared" si="2"/>
        <v>0</v>
      </c>
      <c r="O12" s="17">
        <f t="shared" si="2"/>
        <v>0</v>
      </c>
      <c r="P12" s="17">
        <f t="shared" si="2"/>
        <v>0</v>
      </c>
      <c r="Q12" s="17">
        <f t="shared" si="2"/>
        <v>0</v>
      </c>
      <c r="R12" s="17">
        <f t="shared" si="2"/>
        <v>0</v>
      </c>
    </row>
  </sheetData>
  <mergeCells count="18">
    <mergeCell ref="O7:P7"/>
    <mergeCell ref="Q7:R7"/>
    <mergeCell ref="D7:F7"/>
    <mergeCell ref="G7:G8"/>
    <mergeCell ref="H7:H8"/>
    <mergeCell ref="I7:I8"/>
    <mergeCell ref="J7:J8"/>
    <mergeCell ref="A7:A8"/>
    <mergeCell ref="B7:B8"/>
    <mergeCell ref="C7:C8"/>
    <mergeCell ref="K7:L7"/>
    <mergeCell ref="M7:N7"/>
    <mergeCell ref="A4:R4"/>
    <mergeCell ref="A1:R1"/>
    <mergeCell ref="A2:R2"/>
    <mergeCell ref="K6:R6"/>
    <mergeCell ref="A6:E6"/>
    <mergeCell ref="G6:J6"/>
  </mergeCells>
  <pageMargins left="0.45" right="0.26" top="0.46" bottom="0.75" header="0.3" footer="0.3"/>
  <pageSetup paperSize="9" scale="6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samnang-pc</dc:creator>
  <cp:lastModifiedBy>Somnang</cp:lastModifiedBy>
  <cp:lastPrinted>2022-02-10T01:48:44Z</cp:lastPrinted>
  <dcterms:created xsi:type="dcterms:W3CDTF">2017-12-19T10:08:47Z</dcterms:created>
  <dcterms:modified xsi:type="dcterms:W3CDTF">2022-02-10T01:51:20Z</dcterms:modified>
</cp:coreProperties>
</file>