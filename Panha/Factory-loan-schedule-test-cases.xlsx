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Flat worked example" sheetId="2" state="visible" r:id="rId2"/>
    <sheet name="2 Declining worked example" sheetId="3" state="visible" r:id="rId3"/>
    <sheet name="3 Skip payday under 5 days" sheetId="4" state="visible" r:id="rId4"/>
    <sheet name="4 Exactly 5 days is allowed" sheetId="5" state="visible" r:id="rId5"/>
    <sheet name="5 Disbursed on a payday" sheetId="6" state="visible" r:id="rId6"/>
    <sheet name="6 Single holiday (before)" sheetId="7" state="visible" r:id="rId7"/>
    <sheet name="7 Holiday + weekend (after)" sheetId="8" state="visible" r:id="rId8"/>
    <sheet name="8 Two holidays in a row (after)" sheetId="9" state="visible" r:id="rId9"/>
    <sheet name="9 USD loan (no rounding)" sheetId="10" state="visible" r:id="rId10"/>
    <sheet name="10 Principal remainder" sheetId="11" state="visible" r:id="rId11"/>
    <sheet name="11 Year end rollov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</font>
    <font>
      <name val="Arial"/>
      <b val="1"/>
    </font>
    <font>
      <name val="Arial"/>
    </font>
    <font>
      <name val="Arial"/>
      <i val="1"/>
      <sz val="9"/>
    </font>
    <font>
      <name val="Arial"/>
      <b val="1"/>
      <color rgb="00FFFFFF"/>
    </font>
    <font>
      <name val="Arial"/>
      <sz val="9"/>
    </font>
    <font>
      <name val="Arial"/>
      <b val="1"/>
      <sz val="9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164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4" fontId="4" fillId="0" borderId="1" pivotButton="0" quotePrefix="0" xfId="0"/>
    <xf numFmtId="4" fontId="4" fillId="3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4" fontId="3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2" customWidth="1" min="3" max="3"/>
    <col width="14" customWidth="1" min="4" max="4"/>
    <col width="10" customWidth="1" min="5" max="5"/>
    <col width="7" customWidth="1" min="6" max="6"/>
    <col width="16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Factory loan schedule - test cases (FactorySchedule.vb, Panha)</t>
        </is>
      </c>
    </row>
    <row r="2" ht="45" customHeight="1">
      <c r="A2" s="2" t="inlineStr">
        <is>
          <t>Each sheet is one case generated by the real FactorySchedule.BuildSchedule module, with BK_Holiday rows from the local Panha database (plus simulated holidays where the case says so). Paydays are hard-coded to the 10th and 25th; first payday must be at least 5 days after disbursement.</t>
        </is>
      </c>
    </row>
    <row r="4" ht="30" customHeight="1">
      <c r="A4" s="3" t="inlineStr">
        <is>
          <t>Case</t>
        </is>
      </c>
      <c r="B4" s="3" t="inlineStr">
        <is>
          <t>What it proves</t>
        </is>
      </c>
      <c r="C4" s="3" t="inlineStr">
        <is>
          <t>Disbursed</t>
        </is>
      </c>
      <c r="D4" s="3" t="inlineStr">
        <is>
          <t>Amount</t>
        </is>
      </c>
      <c r="E4" s="3" t="inlineStr">
        <is>
          <t>Rate %/month</t>
        </is>
      </c>
      <c r="F4" s="3" t="inlineStr">
        <is>
          <t>Term</t>
        </is>
      </c>
      <c r="G4" s="3" t="inlineStr">
        <is>
          <t>Type</t>
        </is>
      </c>
      <c r="H4" s="3" t="inlineStr">
        <is>
          <t>Currency</t>
        </is>
      </c>
      <c r="I4" s="3" t="inlineStr">
        <is>
          <t>First due</t>
        </is>
      </c>
      <c r="J4" s="3" t="inlineStr">
        <is>
          <t>Maturity</t>
        </is>
      </c>
      <c r="K4" s="3" t="inlineStr">
        <is>
          <t>Total interest (_Amt)</t>
        </is>
      </c>
    </row>
    <row r="5" ht="48" customHeight="1">
      <c r="A5" s="4" t="inlineStr">
        <is>
          <t>1 Flat worked example</t>
        </is>
      </c>
      <c r="B5" s="4" t="inlineStr">
        <is>
          <t>Customer's example: 1,000,000 KHR, 2%/month, 6 installments, disbursed 3 Nov 2025. Row 1 pro-rated 7 days; rows 2-6 fixed 10,000. 10 Jan and 25 Jan 2026 fall on a weekend and move to the Monday.</t>
        </is>
      </c>
      <c r="C5" s="4" t="inlineStr">
        <is>
          <t>2025-11-03</t>
        </is>
      </c>
      <c r="D5" s="5" t="n">
        <v>1000000</v>
      </c>
      <c r="E5" s="4" t="n">
        <v>2</v>
      </c>
      <c r="F5" s="4" t="n">
        <v>6</v>
      </c>
      <c r="G5" s="4" t="inlineStr">
        <is>
          <t>ថេរ (flat)</t>
        </is>
      </c>
      <c r="H5" s="4" t="inlineStr">
        <is>
          <t>រៀល (KHR)</t>
        </is>
      </c>
      <c r="I5" s="4" t="inlineStr">
        <is>
          <t>2025-11-10</t>
        </is>
      </c>
      <c r="J5" s="4" t="inlineStr">
        <is>
          <t>2026-01-26</t>
        </is>
      </c>
      <c r="K5" s="5">
        <f>'1 Flat worked example'!K23</f>
        <v/>
      </c>
    </row>
    <row r="6" ht="48" customHeight="1">
      <c r="A6" s="4" t="inlineStr">
        <is>
          <t>2 Declining worked example</t>
        </is>
      </c>
      <c r="B6" s="4" t="inlineStr">
        <is>
          <t>Same loan as case 1 but declining type: interest = previous outstanding balance x 1% (half of 2%).</t>
        </is>
      </c>
      <c r="C6" s="4" t="inlineStr">
        <is>
          <t>2025-11-03</t>
        </is>
      </c>
      <c r="D6" s="5" t="n">
        <v>1000000</v>
      </c>
      <c r="E6" s="4" t="n">
        <v>2</v>
      </c>
      <c r="F6" s="4" t="n">
        <v>6</v>
      </c>
      <c r="G6" s="4" t="inlineStr">
        <is>
          <t>ចុះ (declining)</t>
        </is>
      </c>
      <c r="H6" s="4" t="inlineStr">
        <is>
          <t>រៀល (KHR)</t>
        </is>
      </c>
      <c r="I6" s="4" t="inlineStr">
        <is>
          <t>2025-11-10</t>
        </is>
      </c>
      <c r="J6" s="4" t="inlineStr">
        <is>
          <t>2026-01-26</t>
        </is>
      </c>
      <c r="K6" s="5">
        <f>'2 Declining worked example'!K23</f>
        <v/>
      </c>
    </row>
    <row r="7" ht="48" customHeight="1">
      <c r="A7" s="4" t="inlineStr">
        <is>
          <t>3 Skip payday under 5 days</t>
        </is>
      </c>
      <c r="B7" s="4" t="inlineStr">
        <is>
          <t>Disbursed 6 Nov 2025: the 10th is only 4 days away, so the first installment skips to 25 Nov (19 days of interest).</t>
        </is>
      </c>
      <c r="C7" s="4" t="inlineStr">
        <is>
          <t>2025-11-06</t>
        </is>
      </c>
      <c r="D7" s="5" t="n">
        <v>1000000</v>
      </c>
      <c r="E7" s="4" t="n">
        <v>2</v>
      </c>
      <c r="F7" s="4" t="n">
        <v>4</v>
      </c>
      <c r="G7" s="4" t="inlineStr">
        <is>
          <t>ថេរ (flat)</t>
        </is>
      </c>
      <c r="H7" s="4" t="inlineStr">
        <is>
          <t>រៀល (KHR)</t>
        </is>
      </c>
      <c r="I7" s="4" t="inlineStr">
        <is>
          <t>2025-11-25</t>
        </is>
      </c>
      <c r="J7" s="4" t="inlineStr">
        <is>
          <t>2026-01-12</t>
        </is>
      </c>
      <c r="K7" s="5">
        <f>'3 Skip payday under 5 days'!K21</f>
        <v/>
      </c>
    </row>
    <row r="8" ht="48" customHeight="1">
      <c r="A8" s="4" t="inlineStr">
        <is>
          <t>4 Exactly 5 days is allowed</t>
        </is>
      </c>
      <c r="B8" s="4" t="inlineStr">
        <is>
          <t>Disbursed 5 Nov 2025: the 10th is 5 days away, which is the minimum, so it is kept (5 days of interest).</t>
        </is>
      </c>
      <c r="C8" s="4" t="inlineStr">
        <is>
          <t>2025-11-05</t>
        </is>
      </c>
      <c r="D8" s="5" t="n">
        <v>1000000</v>
      </c>
      <c r="E8" s="4" t="n">
        <v>2</v>
      </c>
      <c r="F8" s="4" t="n">
        <v>4</v>
      </c>
      <c r="G8" s="4" t="inlineStr">
        <is>
          <t>ថេរ (flat)</t>
        </is>
      </c>
      <c r="H8" s="4" t="inlineStr">
        <is>
          <t>រៀល (KHR)</t>
        </is>
      </c>
      <c r="I8" s="4" t="inlineStr">
        <is>
          <t>2025-11-10</t>
        </is>
      </c>
      <c r="J8" s="4" t="inlineStr">
        <is>
          <t>2025-12-25</t>
        </is>
      </c>
      <c r="K8" s="5">
        <f>'4 Exactly 5 days is allowed'!K21</f>
        <v/>
      </c>
    </row>
    <row r="9" ht="48" customHeight="1">
      <c r="A9" s="4" t="inlineStr">
        <is>
          <t>5 Disbursed on a payday</t>
        </is>
      </c>
      <c r="B9" s="4" t="inlineStr">
        <is>
          <t>Disbursed on 25 Nov 2025 itself: the next payday is 10 Dec (15 days), nothing is skipped.</t>
        </is>
      </c>
      <c r="C9" s="4" t="inlineStr">
        <is>
          <t>2025-11-25</t>
        </is>
      </c>
      <c r="D9" s="5" t="n">
        <v>2000000</v>
      </c>
      <c r="E9" s="4" t="n">
        <v>3</v>
      </c>
      <c r="F9" s="4" t="n">
        <v>4</v>
      </c>
      <c r="G9" s="4" t="inlineStr">
        <is>
          <t>ថេរ (flat)</t>
        </is>
      </c>
      <c r="H9" s="4" t="inlineStr">
        <is>
          <t>រៀល (KHR)</t>
        </is>
      </c>
      <c r="I9" s="4" t="inlineStr">
        <is>
          <t>2025-12-10</t>
        </is>
      </c>
      <c r="J9" s="4" t="inlineStr">
        <is>
          <t>2026-01-26</t>
        </is>
      </c>
      <c r="K9" s="5">
        <f>'5 Disbursed on a payday'!K21</f>
        <v/>
      </c>
    </row>
    <row r="10" ht="48" customHeight="1">
      <c r="A10" s="4" t="inlineStr">
        <is>
          <t>6 Single holiday - collect before</t>
        </is>
      </c>
      <c r="B10" s="4" t="inlineStr">
        <is>
          <t>Simulated holiday on Thu 25 Dec 2025 (1 closed day, no weekend touching it): collected on Wed 24 Dec. Interest unchanged.</t>
        </is>
      </c>
      <c r="C10" s="4" t="inlineStr">
        <is>
          <t>2025-11-03</t>
        </is>
      </c>
      <c r="D10" s="5" t="n">
        <v>1000000</v>
      </c>
      <c r="E10" s="4" t="n">
        <v>2</v>
      </c>
      <c r="F10" s="4" t="n">
        <v>4</v>
      </c>
      <c r="G10" s="4" t="inlineStr">
        <is>
          <t>ថេរ (flat)</t>
        </is>
      </c>
      <c r="H10" s="4" t="inlineStr">
        <is>
          <t>រៀល (KHR)</t>
        </is>
      </c>
      <c r="I10" s="4" t="inlineStr">
        <is>
          <t>2025-11-10</t>
        </is>
      </c>
      <c r="J10" s="4" t="inlineStr">
        <is>
          <t>2025-12-24</t>
        </is>
      </c>
      <c r="K10" s="5">
        <f>'6 Single holiday (before)'!K21</f>
        <v/>
      </c>
    </row>
    <row r="11" ht="48" customHeight="1">
      <c r="A11" s="4" t="inlineStr">
        <is>
          <t>7 Holiday + weekend - collect after</t>
        </is>
      </c>
      <c r="B11" s="4" t="inlineStr">
        <is>
          <t>Simulated holiday on Fri 10 Apr 2026 joined to the weekend (3 closed days): collected on Mon 13 Apr. Also 10 Jan / 25 Jan 2026 weekends.</t>
        </is>
      </c>
      <c r="C11" s="4" t="inlineStr">
        <is>
          <t>2025-12-01</t>
        </is>
      </c>
      <c r="D11" s="5" t="n">
        <v>1000000</v>
      </c>
      <c r="E11" s="4" t="n">
        <v>2</v>
      </c>
      <c r="F11" s="4" t="n">
        <v>10</v>
      </c>
      <c r="G11" s="4" t="inlineStr">
        <is>
          <t>ថេរ (flat)</t>
        </is>
      </c>
      <c r="H11" s="4" t="inlineStr">
        <is>
          <t>រៀល (KHR)</t>
        </is>
      </c>
      <c r="I11" s="4" t="inlineStr">
        <is>
          <t>2025-12-10</t>
        </is>
      </c>
      <c r="J11" s="4" t="inlineStr">
        <is>
          <t>2026-04-27</t>
        </is>
      </c>
      <c r="K11" s="5">
        <f>'7 Holiday + weekend (after)'!K27</f>
        <v/>
      </c>
    </row>
    <row r="12" ht="48" customHeight="1">
      <c r="A12" s="4" t="inlineStr">
        <is>
          <t>8 Two holidays in a row - after</t>
        </is>
      </c>
      <c r="B12" s="4" t="inlineStr">
        <is>
          <t>Simulated holidays Tue 25 Nov and Wed 26 Nov 2025 (2 closed days): collected Thu 27 Nov.</t>
        </is>
      </c>
      <c r="C12" s="4" t="inlineStr">
        <is>
          <t>2025-11-03</t>
        </is>
      </c>
      <c r="D12" s="5" t="n">
        <v>1000000</v>
      </c>
      <c r="E12" s="4" t="n">
        <v>2</v>
      </c>
      <c r="F12" s="4" t="n">
        <v>3</v>
      </c>
      <c r="G12" s="4" t="inlineStr">
        <is>
          <t>ថេរ (flat)</t>
        </is>
      </c>
      <c r="H12" s="4" t="inlineStr">
        <is>
          <t>រៀល (KHR)</t>
        </is>
      </c>
      <c r="I12" s="4" t="inlineStr">
        <is>
          <t>2025-11-10</t>
        </is>
      </c>
      <c r="J12" s="4" t="inlineStr">
        <is>
          <t>2025-12-10</t>
        </is>
      </c>
      <c r="K12" s="5">
        <f>'8 Two holidays in a row (after)'!K20</f>
        <v/>
      </c>
    </row>
    <row r="13" ht="48" customHeight="1">
      <c r="A13" s="4" t="inlineStr">
        <is>
          <t>9 USD loan - no rounding</t>
        </is>
      </c>
      <c r="B13" s="4" t="inlineStr">
        <is>
          <t>USD 500 at 2.5%/month, 4 installments, declining: amounts are stored as computed, no rounding to 100.</t>
        </is>
      </c>
      <c r="C13" s="4" t="inlineStr">
        <is>
          <t>2025-11-12</t>
        </is>
      </c>
      <c r="D13" s="5" t="n">
        <v>500</v>
      </c>
      <c r="E13" s="4" t="n">
        <v>2.5</v>
      </c>
      <c r="F13" s="4" t="n">
        <v>4</v>
      </c>
      <c r="G13" s="4" t="inlineStr">
        <is>
          <t>ចុះ (declining)</t>
        </is>
      </c>
      <c r="H13" s="4" t="inlineStr">
        <is>
          <t>ដុល្លារ (USD)</t>
        </is>
      </c>
      <c r="I13" s="4" t="inlineStr">
        <is>
          <t>2025-11-25</t>
        </is>
      </c>
      <c r="J13" s="4" t="inlineStr">
        <is>
          <t>2026-01-12</t>
        </is>
      </c>
      <c r="K13" s="5">
        <f>'9 USD loan (no rounding)'!K21</f>
        <v/>
      </c>
    </row>
    <row r="14" ht="48" customHeight="1">
      <c r="A14" s="4" t="inlineStr">
        <is>
          <t>10 Principal remainder</t>
        </is>
      </c>
      <c r="B14" s="4" t="inlineStr">
        <is>
          <t>1,000,000 KHR over 7 installments: 142,857.14 x 6 and the last one 142,857.16 so the balance ends at exactly 0.</t>
        </is>
      </c>
      <c r="C14" s="4" t="inlineStr">
        <is>
          <t>2025-11-03</t>
        </is>
      </c>
      <c r="D14" s="5" t="n">
        <v>1000000</v>
      </c>
      <c r="E14" s="4" t="n">
        <v>2</v>
      </c>
      <c r="F14" s="4" t="n">
        <v>7</v>
      </c>
      <c r="G14" s="4" t="inlineStr">
        <is>
          <t>ថេរ (flat)</t>
        </is>
      </c>
      <c r="H14" s="4" t="inlineStr">
        <is>
          <t>រៀល (KHR)</t>
        </is>
      </c>
      <c r="I14" s="4" t="inlineStr">
        <is>
          <t>2025-11-10</t>
        </is>
      </c>
      <c r="J14" s="4" t="inlineStr">
        <is>
          <t>2026-02-10</t>
        </is>
      </c>
      <c r="K14" s="5">
        <f>'10 Principal remainder'!K24</f>
        <v/>
      </c>
    </row>
    <row r="15" ht="48" customHeight="1">
      <c r="A15" s="4" t="inlineStr">
        <is>
          <t>11 Year end rollover</t>
        </is>
      </c>
      <c r="B15" s="4" t="inlineStr">
        <is>
          <t>Disbursed 20 Dec 2025: 25 Dec kept (5 days), then 10 Jan 2026 (Sat -&gt; Mon 12), 25 Jan (Sun -&gt; Mon 26). DB holiday 29 Dec is not a payday so it has no effect.</t>
        </is>
      </c>
      <c r="C15" s="4" t="inlineStr">
        <is>
          <t>2025-12-20</t>
        </is>
      </c>
      <c r="D15" s="5" t="n">
        <v>3000000</v>
      </c>
      <c r="E15" s="4" t="n">
        <v>2</v>
      </c>
      <c r="F15" s="4" t="n">
        <v>4</v>
      </c>
      <c r="G15" s="4" t="inlineStr">
        <is>
          <t>ចុះ (declining)</t>
        </is>
      </c>
      <c r="H15" s="4" t="inlineStr">
        <is>
          <t>រៀល (KHR)</t>
        </is>
      </c>
      <c r="I15" s="4" t="inlineStr">
        <is>
          <t>2025-12-25</t>
        </is>
      </c>
      <c r="J15" s="4" t="inlineStr">
        <is>
          <t>2026-02-10</t>
        </is>
      </c>
      <c r="K15" s="5">
        <f>'11 Year end rollover'!K21</f>
        <v/>
      </c>
    </row>
  </sheetData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1 Flat worked example</t>
        </is>
      </c>
    </row>
    <row r="2" ht="42" customHeight="1">
      <c r="A2" s="2" t="inlineStr">
        <is>
          <t>Customer's example: 1,000,000 KHR, 2%/month, 6 installments, disbursed 3 Nov 2025. Row 1 pro-rated 7 days; rows 2-6 fixed 10,000. 10 Jan and 25 Jan 2026 fall on a weekend and move to the Monday.</t>
        </is>
      </c>
    </row>
    <row r="4">
      <c r="A4" s="7" t="inlineStr">
        <is>
          <t>Disbursement date (LD_Dis_Date)</t>
        </is>
      </c>
      <c r="B4" s="8" t="inlineStr">
        <is>
          <t>2025-11-03</t>
        </is>
      </c>
    </row>
    <row r="5">
      <c r="A5" s="7" t="inlineStr">
        <is>
          <t>Amount (LD_Dis_Amt)</t>
        </is>
      </c>
      <c r="B5" s="9" t="n">
        <v>1000000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6</v>
      </c>
    </row>
    <row r="8">
      <c r="A8" s="7" t="inlineStr">
        <is>
          <t>Type (LD_Type)</t>
        </is>
      </c>
      <c r="B8" s="8" t="inlineStr">
        <is>
          <t>ថេរ (flat)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2025-11-10</t>
        </is>
      </c>
    </row>
    <row r="12">
      <c r="A12" s="7" t="inlineStr">
        <is>
          <t>Maturity (LD_Mat_Date)</t>
        </is>
      </c>
      <c r="B12" s="8" t="inlineStr">
        <is>
          <t>2026-01-26</t>
        </is>
      </c>
    </row>
    <row r="13">
      <c r="A13" s="7" t="inlineStr">
        <is>
          <t>Holidays in range</t>
        </is>
      </c>
      <c r="B13" s="8" t="inlineStr">
        <is>
          <t>2025-11-04 (BK_Holiday), 2025-11-05 (BK_Holiday), 2025-11-06 (BK_Holiday), 2025-11-09 (BK_Holiday), 2025-12-29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2025-11-10</t>
        </is>
      </c>
      <c r="C17" s="14" t="inlineStr">
        <is>
          <t>2025-11-10</t>
        </is>
      </c>
      <c r="D17" s="13" t="inlineStr">
        <is>
          <t>Monday</t>
        </is>
      </c>
      <c r="E17" s="13" t="inlineStr"/>
      <c r="F17" s="15" t="n">
        <v>7</v>
      </c>
      <c r="G17" s="16" t="n">
        <v>166666.67</v>
      </c>
      <c r="H17" s="17" t="n">
        <v>4666.666666666666</v>
      </c>
      <c r="I17" s="16" t="n">
        <v>833333.33</v>
      </c>
      <c r="J17" s="16" t="n">
        <v>166700</v>
      </c>
      <c r="K17" s="16" t="n">
        <v>4700</v>
      </c>
      <c r="L17" s="16" t="n">
        <v>833400</v>
      </c>
      <c r="M17" s="16">
        <f>J17+K17</f>
        <v/>
      </c>
    </row>
    <row r="18">
      <c r="A18" s="13" t="n">
        <v>2</v>
      </c>
      <c r="B18" s="14" t="inlineStr">
        <is>
          <t>2025-11-25</t>
        </is>
      </c>
      <c r="C18" s="14" t="inlineStr">
        <is>
          <t>2025-11-25</t>
        </is>
      </c>
      <c r="D18" s="13" t="inlineStr">
        <is>
          <t>Tuesday</t>
        </is>
      </c>
      <c r="E18" s="13" t="inlineStr"/>
      <c r="F18" s="13" t="n">
        <v>15</v>
      </c>
      <c r="G18" s="16" t="n">
        <v>166666.67</v>
      </c>
      <c r="H18" s="16" t="n">
        <v>10000</v>
      </c>
      <c r="I18" s="16" t="n">
        <v>666666.6599999999</v>
      </c>
      <c r="J18" s="16" t="n">
        <v>166700</v>
      </c>
      <c r="K18" s="16" t="n">
        <v>10000</v>
      </c>
      <c r="L18" s="16" t="n">
        <v>666700</v>
      </c>
      <c r="M18" s="16">
        <f>J18+K18</f>
        <v/>
      </c>
    </row>
    <row r="19">
      <c r="A19" s="13" t="n">
        <v>3</v>
      </c>
      <c r="B19" s="14" t="inlineStr">
        <is>
          <t>2025-12-10</t>
        </is>
      </c>
      <c r="C19" s="14" t="inlineStr">
        <is>
          <t>2025-12-10</t>
        </is>
      </c>
      <c r="D19" s="13" t="inlineStr">
        <is>
          <t>Wednesday</t>
        </is>
      </c>
      <c r="E19" s="13" t="inlineStr"/>
      <c r="F19" s="13" t="n">
        <v>15</v>
      </c>
      <c r="G19" s="16" t="n">
        <v>166666.67</v>
      </c>
      <c r="H19" s="16" t="n">
        <v>10000</v>
      </c>
      <c r="I19" s="16" t="n">
        <v>499999.9899999999</v>
      </c>
      <c r="J19" s="16" t="n">
        <v>166700</v>
      </c>
      <c r="K19" s="16" t="n">
        <v>10000</v>
      </c>
      <c r="L19" s="16" t="n">
        <v>500000</v>
      </c>
      <c r="M19" s="16">
        <f>J19+K19</f>
        <v/>
      </c>
    </row>
    <row r="20">
      <c r="A20" s="13" t="n">
        <v>4</v>
      </c>
      <c r="B20" s="14" t="inlineStr">
        <is>
          <t>2025-12-25</t>
        </is>
      </c>
      <c r="C20" s="14" t="inlineStr">
        <is>
          <t>2025-12-25</t>
        </is>
      </c>
      <c r="D20" s="13" t="inlineStr">
        <is>
          <t>Thursday</t>
        </is>
      </c>
      <c r="E20" s="13" t="inlineStr"/>
      <c r="F20" s="13" t="n">
        <v>15</v>
      </c>
      <c r="G20" s="16" t="n">
        <v>166666.67</v>
      </c>
      <c r="H20" s="16" t="n">
        <v>10000</v>
      </c>
      <c r="I20" s="16" t="n">
        <v>333333.3199999998</v>
      </c>
      <c r="J20" s="16" t="n">
        <v>166700</v>
      </c>
      <c r="K20" s="16" t="n">
        <v>10000</v>
      </c>
      <c r="L20" s="16" t="n">
        <v>333400</v>
      </c>
      <c r="M20" s="16">
        <f>J20+K20</f>
        <v/>
      </c>
    </row>
    <row r="21">
      <c r="A21" s="13" t="n">
        <v>5</v>
      </c>
      <c r="B21" s="18" t="inlineStr">
        <is>
          <t>2026-01-10</t>
        </is>
      </c>
      <c r="C21" s="18" t="inlineStr">
        <is>
          <t>2026-01-12</t>
        </is>
      </c>
      <c r="D21" s="19" t="inlineStr">
        <is>
          <t>Monday</t>
        </is>
      </c>
      <c r="E21" s="19" t="inlineStr">
        <is>
          <t>yes</t>
        </is>
      </c>
      <c r="F21" s="13" t="n">
        <v>16</v>
      </c>
      <c r="G21" s="16" t="n">
        <v>166666.67</v>
      </c>
      <c r="H21" s="16" t="n">
        <v>10000</v>
      </c>
      <c r="I21" s="16" t="n">
        <v>166666.6499999998</v>
      </c>
      <c r="J21" s="16" t="n">
        <v>166700</v>
      </c>
      <c r="K21" s="16" t="n">
        <v>10000</v>
      </c>
      <c r="L21" s="16" t="n">
        <v>166700</v>
      </c>
      <c r="M21" s="16">
        <f>J21+K21</f>
        <v/>
      </c>
    </row>
    <row r="22">
      <c r="A22" s="13" t="n">
        <v>6</v>
      </c>
      <c r="B22" s="18" t="inlineStr">
        <is>
          <t>2026-01-25</t>
        </is>
      </c>
      <c r="C22" s="18" t="inlineStr">
        <is>
          <t>2026-01-26</t>
        </is>
      </c>
      <c r="D22" s="19" t="inlineStr">
        <is>
          <t>Monday</t>
        </is>
      </c>
      <c r="E22" s="19" t="inlineStr">
        <is>
          <t>yes</t>
        </is>
      </c>
      <c r="F22" s="13" t="n">
        <v>15</v>
      </c>
      <c r="G22" s="16" t="n">
        <v>166666.6499999998</v>
      </c>
      <c r="H22" s="16" t="n">
        <v>10000</v>
      </c>
      <c r="I22" s="16" t="n">
        <v>0</v>
      </c>
      <c r="J22" s="16" t="n">
        <v>166700</v>
      </c>
      <c r="K22" s="16" t="n">
        <v>10000</v>
      </c>
      <c r="L22" s="16" t="n">
        <v>0</v>
      </c>
      <c r="M22" s="16">
        <f>J22+K22</f>
        <v/>
      </c>
    </row>
    <row r="23">
      <c r="A23" s="7" t="inlineStr">
        <is>
          <t>Total</t>
        </is>
      </c>
      <c r="G23" s="20">
        <f>SUM(G17:G22)</f>
        <v/>
      </c>
      <c r="H23" s="20">
        <f>SUM(H17:H22)</f>
        <v/>
      </c>
      <c r="J23" s="20">
        <f>SUM(J17:J22)</f>
        <v/>
      </c>
      <c r="K23" s="20">
        <f>SUM(K17:K22)</f>
        <v/>
      </c>
      <c r="M23" s="20">
        <f>SUM(M17:M22)</f>
        <v/>
      </c>
    </row>
    <row r="24">
      <c r="A24" s="21" t="inlineStr">
        <is>
          <t>Check: principal total equals amount</t>
        </is>
      </c>
      <c r="G24" s="22">
        <f>IF(ROUND(G23-B5,2)=0,"OK","DIFF")</f>
        <v/>
      </c>
    </row>
    <row r="25">
      <c r="A25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2 Declining worked example</t>
        </is>
      </c>
    </row>
    <row r="2" ht="42" customHeight="1">
      <c r="A2" s="2" t="inlineStr">
        <is>
          <t>Same loan as case 1 but declining type: interest = previous outstanding balance x 1% (half of 2%).</t>
        </is>
      </c>
    </row>
    <row r="4">
      <c r="A4" s="7" t="inlineStr">
        <is>
          <t>Disbursement date (LD_Dis_Date)</t>
        </is>
      </c>
      <c r="B4" s="8" t="inlineStr">
        <is>
          <t>2025-11-03</t>
        </is>
      </c>
    </row>
    <row r="5">
      <c r="A5" s="7" t="inlineStr">
        <is>
          <t>Amount (LD_Dis_Amt)</t>
        </is>
      </c>
      <c r="B5" s="9" t="n">
        <v>1000000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6</v>
      </c>
    </row>
    <row r="8">
      <c r="A8" s="7" t="inlineStr">
        <is>
          <t>Type (LD_Type)</t>
        </is>
      </c>
      <c r="B8" s="8" t="inlineStr">
        <is>
          <t>ចុះ (declining)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2025-11-10</t>
        </is>
      </c>
    </row>
    <row r="12">
      <c r="A12" s="7" t="inlineStr">
        <is>
          <t>Maturity (LD_Mat_Date)</t>
        </is>
      </c>
      <c r="B12" s="8" t="inlineStr">
        <is>
          <t>2026-01-26</t>
        </is>
      </c>
    </row>
    <row r="13">
      <c r="A13" s="7" t="inlineStr">
        <is>
          <t>Holidays in range</t>
        </is>
      </c>
      <c r="B13" s="8" t="inlineStr">
        <is>
          <t>2025-11-04 (BK_Holiday), 2025-11-05 (BK_Holiday), 2025-11-06 (BK_Holiday), 2025-11-09 (BK_Holiday), 2025-12-29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2025-11-10</t>
        </is>
      </c>
      <c r="C17" s="14" t="inlineStr">
        <is>
          <t>2025-11-10</t>
        </is>
      </c>
      <c r="D17" s="13" t="inlineStr">
        <is>
          <t>Monday</t>
        </is>
      </c>
      <c r="E17" s="13" t="inlineStr"/>
      <c r="F17" s="15" t="n">
        <v>7</v>
      </c>
      <c r="G17" s="16" t="n">
        <v>166666.67</v>
      </c>
      <c r="H17" s="17" t="n">
        <v>4666.666666666666</v>
      </c>
      <c r="I17" s="16" t="n">
        <v>833333.33</v>
      </c>
      <c r="J17" s="16" t="n">
        <v>166700</v>
      </c>
      <c r="K17" s="16" t="n">
        <v>4700</v>
      </c>
      <c r="L17" s="16" t="n">
        <v>833400</v>
      </c>
      <c r="M17" s="16">
        <f>J17+K17</f>
        <v/>
      </c>
    </row>
    <row r="18">
      <c r="A18" s="13" t="n">
        <v>2</v>
      </c>
      <c r="B18" s="14" t="inlineStr">
        <is>
          <t>2025-11-25</t>
        </is>
      </c>
      <c r="C18" s="14" t="inlineStr">
        <is>
          <t>2025-11-25</t>
        </is>
      </c>
      <c r="D18" s="13" t="inlineStr">
        <is>
          <t>Tuesday</t>
        </is>
      </c>
      <c r="E18" s="13" t="inlineStr"/>
      <c r="F18" s="13" t="n">
        <v>15</v>
      </c>
      <c r="G18" s="16" t="n">
        <v>166666.67</v>
      </c>
      <c r="H18" s="16" t="n">
        <v>8333.3333</v>
      </c>
      <c r="I18" s="16" t="n">
        <v>666666.6599999999</v>
      </c>
      <c r="J18" s="16" t="n">
        <v>166700</v>
      </c>
      <c r="K18" s="16" t="n">
        <v>8400</v>
      </c>
      <c r="L18" s="16" t="n">
        <v>666700</v>
      </c>
      <c r="M18" s="16">
        <f>J18+K18</f>
        <v/>
      </c>
    </row>
    <row r="19">
      <c r="A19" s="13" t="n">
        <v>3</v>
      </c>
      <c r="B19" s="14" t="inlineStr">
        <is>
          <t>2025-12-10</t>
        </is>
      </c>
      <c r="C19" s="14" t="inlineStr">
        <is>
          <t>2025-12-10</t>
        </is>
      </c>
      <c r="D19" s="13" t="inlineStr">
        <is>
          <t>Wednesday</t>
        </is>
      </c>
      <c r="E19" s="13" t="inlineStr"/>
      <c r="F19" s="13" t="n">
        <v>15</v>
      </c>
      <c r="G19" s="16" t="n">
        <v>166666.67</v>
      </c>
      <c r="H19" s="16" t="n">
        <v>6666.6666</v>
      </c>
      <c r="I19" s="16" t="n">
        <v>499999.9899999999</v>
      </c>
      <c r="J19" s="16" t="n">
        <v>166700</v>
      </c>
      <c r="K19" s="16" t="n">
        <v>6700</v>
      </c>
      <c r="L19" s="16" t="n">
        <v>500000</v>
      </c>
      <c r="M19" s="16">
        <f>J19+K19</f>
        <v/>
      </c>
    </row>
    <row r="20">
      <c r="A20" s="13" t="n">
        <v>4</v>
      </c>
      <c r="B20" s="14" t="inlineStr">
        <is>
          <t>2025-12-25</t>
        </is>
      </c>
      <c r="C20" s="14" t="inlineStr">
        <is>
          <t>2025-12-25</t>
        </is>
      </c>
      <c r="D20" s="13" t="inlineStr">
        <is>
          <t>Thursday</t>
        </is>
      </c>
      <c r="E20" s="13" t="inlineStr"/>
      <c r="F20" s="13" t="n">
        <v>15</v>
      </c>
      <c r="G20" s="16" t="n">
        <v>166666.67</v>
      </c>
      <c r="H20" s="16" t="n">
        <v>4999.999899999999</v>
      </c>
      <c r="I20" s="16" t="n">
        <v>333333.3199999998</v>
      </c>
      <c r="J20" s="16" t="n">
        <v>166700</v>
      </c>
      <c r="K20" s="16" t="n">
        <v>5000</v>
      </c>
      <c r="L20" s="16" t="n">
        <v>333400</v>
      </c>
      <c r="M20" s="16">
        <f>J20+K20</f>
        <v/>
      </c>
    </row>
    <row r="21">
      <c r="A21" s="13" t="n">
        <v>5</v>
      </c>
      <c r="B21" s="18" t="inlineStr">
        <is>
          <t>2026-01-10</t>
        </is>
      </c>
      <c r="C21" s="18" t="inlineStr">
        <is>
          <t>2026-01-12</t>
        </is>
      </c>
      <c r="D21" s="19" t="inlineStr">
        <is>
          <t>Monday</t>
        </is>
      </c>
      <c r="E21" s="19" t="inlineStr">
        <is>
          <t>yes</t>
        </is>
      </c>
      <c r="F21" s="13" t="n">
        <v>16</v>
      </c>
      <c r="G21" s="16" t="n">
        <v>166666.67</v>
      </c>
      <c r="H21" s="16" t="n">
        <v>3333.333199999998</v>
      </c>
      <c r="I21" s="16" t="n">
        <v>166666.6499999998</v>
      </c>
      <c r="J21" s="16" t="n">
        <v>166700</v>
      </c>
      <c r="K21" s="16" t="n">
        <v>3400</v>
      </c>
      <c r="L21" s="16" t="n">
        <v>166700</v>
      </c>
      <c r="M21" s="16">
        <f>J21+K21</f>
        <v/>
      </c>
    </row>
    <row r="22">
      <c r="A22" s="13" t="n">
        <v>6</v>
      </c>
      <c r="B22" s="18" t="inlineStr">
        <is>
          <t>2026-01-25</t>
        </is>
      </c>
      <c r="C22" s="18" t="inlineStr">
        <is>
          <t>2026-01-26</t>
        </is>
      </c>
      <c r="D22" s="19" t="inlineStr">
        <is>
          <t>Monday</t>
        </is>
      </c>
      <c r="E22" s="19" t="inlineStr">
        <is>
          <t>yes</t>
        </is>
      </c>
      <c r="F22" s="13" t="n">
        <v>15</v>
      </c>
      <c r="G22" s="16" t="n">
        <v>166666.6499999998</v>
      </c>
      <c r="H22" s="16" t="n">
        <v>1666.666499999998</v>
      </c>
      <c r="I22" s="16" t="n">
        <v>0</v>
      </c>
      <c r="J22" s="16" t="n">
        <v>166700</v>
      </c>
      <c r="K22" s="16" t="n">
        <v>1700</v>
      </c>
      <c r="L22" s="16" t="n">
        <v>0</v>
      </c>
      <c r="M22" s="16">
        <f>J22+K22</f>
        <v/>
      </c>
    </row>
    <row r="23">
      <c r="A23" s="7" t="inlineStr">
        <is>
          <t>Total</t>
        </is>
      </c>
      <c r="G23" s="20">
        <f>SUM(G17:G22)</f>
        <v/>
      </c>
      <c r="H23" s="20">
        <f>SUM(H17:H22)</f>
        <v/>
      </c>
      <c r="J23" s="20">
        <f>SUM(J17:J22)</f>
        <v/>
      </c>
      <c r="K23" s="20">
        <f>SUM(K17:K22)</f>
        <v/>
      </c>
      <c r="M23" s="20">
        <f>SUM(M17:M22)</f>
        <v/>
      </c>
    </row>
    <row r="24">
      <c r="A24" s="21" t="inlineStr">
        <is>
          <t>Check: principal total equals amount</t>
        </is>
      </c>
      <c r="G24" s="22">
        <f>IF(ROUND(G23-B5,2)=0,"OK","DIFF")</f>
        <v/>
      </c>
    </row>
    <row r="25">
      <c r="A25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3 Skip payday under 5 days</t>
        </is>
      </c>
    </row>
    <row r="2" ht="42" customHeight="1">
      <c r="A2" s="2" t="inlineStr">
        <is>
          <t>Disbursed 6 Nov 2025: the 10th is only 4 days away, so the first installment skips to 25 Nov (19 days of interest).</t>
        </is>
      </c>
    </row>
    <row r="4">
      <c r="A4" s="7" t="inlineStr">
        <is>
          <t>Disbursement date (LD_Dis_Date)</t>
        </is>
      </c>
      <c r="B4" s="8" t="inlineStr">
        <is>
          <t>2025-11-06</t>
        </is>
      </c>
    </row>
    <row r="5">
      <c r="A5" s="7" t="inlineStr">
        <is>
          <t>Amount (LD_Dis_Amt)</t>
        </is>
      </c>
      <c r="B5" s="9" t="n">
        <v>1000000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4</v>
      </c>
    </row>
    <row r="8">
      <c r="A8" s="7" t="inlineStr">
        <is>
          <t>Type (LD_Type)</t>
        </is>
      </c>
      <c r="B8" s="8" t="inlineStr">
        <is>
          <t>ថេរ (flat)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2025-11-25</t>
        </is>
      </c>
    </row>
    <row r="12">
      <c r="A12" s="7" t="inlineStr">
        <is>
          <t>Maturity (LD_Mat_Date)</t>
        </is>
      </c>
      <c r="B12" s="8" t="inlineStr">
        <is>
          <t>2026-01-12</t>
        </is>
      </c>
    </row>
    <row r="13">
      <c r="A13" s="7" t="inlineStr">
        <is>
          <t>Holidays in range</t>
        </is>
      </c>
      <c r="B13" s="8" t="inlineStr">
        <is>
          <t>2025-11-06 (BK_Holiday), 2025-11-09 (BK_Holiday), 2025-12-29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2025-11-25</t>
        </is>
      </c>
      <c r="C17" s="14" t="inlineStr">
        <is>
          <t>2025-11-25</t>
        </is>
      </c>
      <c r="D17" s="13" t="inlineStr">
        <is>
          <t>Tuesday</t>
        </is>
      </c>
      <c r="E17" s="13" t="inlineStr"/>
      <c r="F17" s="15" t="n">
        <v>19</v>
      </c>
      <c r="G17" s="16" t="n">
        <v>250000</v>
      </c>
      <c r="H17" s="17" t="n">
        <v>12666.66666666667</v>
      </c>
      <c r="I17" s="16" t="n">
        <v>750000</v>
      </c>
      <c r="J17" s="16" t="n">
        <v>250000</v>
      </c>
      <c r="K17" s="16" t="n">
        <v>12700</v>
      </c>
      <c r="L17" s="16" t="n">
        <v>750000</v>
      </c>
      <c r="M17" s="16">
        <f>J17+K17</f>
        <v/>
      </c>
    </row>
    <row r="18">
      <c r="A18" s="13" t="n">
        <v>2</v>
      </c>
      <c r="B18" s="14" t="inlineStr">
        <is>
          <t>2025-12-10</t>
        </is>
      </c>
      <c r="C18" s="14" t="inlineStr">
        <is>
          <t>2025-12-10</t>
        </is>
      </c>
      <c r="D18" s="13" t="inlineStr">
        <is>
          <t>Wednesday</t>
        </is>
      </c>
      <c r="E18" s="13" t="inlineStr"/>
      <c r="F18" s="13" t="n">
        <v>15</v>
      </c>
      <c r="G18" s="16" t="n">
        <v>250000</v>
      </c>
      <c r="H18" s="16" t="n">
        <v>10000</v>
      </c>
      <c r="I18" s="16" t="n">
        <v>500000</v>
      </c>
      <c r="J18" s="16" t="n">
        <v>250000</v>
      </c>
      <c r="K18" s="16" t="n">
        <v>10000</v>
      </c>
      <c r="L18" s="16" t="n">
        <v>500000</v>
      </c>
      <c r="M18" s="16">
        <f>J18+K18</f>
        <v/>
      </c>
    </row>
    <row r="19">
      <c r="A19" s="13" t="n">
        <v>3</v>
      </c>
      <c r="B19" s="14" t="inlineStr">
        <is>
          <t>2025-12-25</t>
        </is>
      </c>
      <c r="C19" s="14" t="inlineStr">
        <is>
          <t>2025-12-25</t>
        </is>
      </c>
      <c r="D19" s="13" t="inlineStr">
        <is>
          <t>Thursday</t>
        </is>
      </c>
      <c r="E19" s="13" t="inlineStr"/>
      <c r="F19" s="13" t="n">
        <v>15</v>
      </c>
      <c r="G19" s="16" t="n">
        <v>250000</v>
      </c>
      <c r="H19" s="16" t="n">
        <v>10000</v>
      </c>
      <c r="I19" s="16" t="n">
        <v>250000</v>
      </c>
      <c r="J19" s="16" t="n">
        <v>250000</v>
      </c>
      <c r="K19" s="16" t="n">
        <v>10000</v>
      </c>
      <c r="L19" s="16" t="n">
        <v>250000</v>
      </c>
      <c r="M19" s="16">
        <f>J19+K19</f>
        <v/>
      </c>
    </row>
    <row r="20">
      <c r="A20" s="13" t="n">
        <v>4</v>
      </c>
      <c r="B20" s="18" t="inlineStr">
        <is>
          <t>2026-01-10</t>
        </is>
      </c>
      <c r="C20" s="18" t="inlineStr">
        <is>
          <t>2026-01-12</t>
        </is>
      </c>
      <c r="D20" s="19" t="inlineStr">
        <is>
          <t>Monday</t>
        </is>
      </c>
      <c r="E20" s="19" t="inlineStr">
        <is>
          <t>yes</t>
        </is>
      </c>
      <c r="F20" s="13" t="n">
        <v>16</v>
      </c>
      <c r="G20" s="16" t="n">
        <v>250000</v>
      </c>
      <c r="H20" s="16" t="n">
        <v>10000</v>
      </c>
      <c r="I20" s="16" t="n">
        <v>0</v>
      </c>
      <c r="J20" s="16" t="n">
        <v>250000</v>
      </c>
      <c r="K20" s="16" t="n">
        <v>10000</v>
      </c>
      <c r="L20" s="16" t="n">
        <v>0</v>
      </c>
      <c r="M20" s="16">
        <f>J20+K20</f>
        <v/>
      </c>
    </row>
    <row r="21">
      <c r="A21" s="7" t="inlineStr">
        <is>
          <t>Total</t>
        </is>
      </c>
      <c r="G21" s="20">
        <f>SUM(G17:G20)</f>
        <v/>
      </c>
      <c r="H21" s="20">
        <f>SUM(H17:H20)</f>
        <v/>
      </c>
      <c r="J21" s="20">
        <f>SUM(J17:J20)</f>
        <v/>
      </c>
      <c r="K21" s="20">
        <f>SUM(K17:K20)</f>
        <v/>
      </c>
      <c r="M21" s="20">
        <f>SUM(M17:M20)</f>
        <v/>
      </c>
    </row>
    <row r="22">
      <c r="A22" s="21" t="inlineStr">
        <is>
          <t>Check: principal total equals amount</t>
        </is>
      </c>
      <c r="G22" s="22">
        <f>IF(ROUND(G21-B5,2)=0,"OK","DIFF")</f>
        <v/>
      </c>
    </row>
    <row r="23">
      <c r="A23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4 Exactly 5 days is allowed</t>
        </is>
      </c>
    </row>
    <row r="2" ht="42" customHeight="1">
      <c r="A2" s="2" t="inlineStr">
        <is>
          <t>Disbursed 5 Nov 2025: the 10th is 5 days away, which is the minimum, so it is kept (5 days of interest).</t>
        </is>
      </c>
    </row>
    <row r="4">
      <c r="A4" s="7" t="inlineStr">
        <is>
          <t>Disbursement date (LD_Dis_Date)</t>
        </is>
      </c>
      <c r="B4" s="8" t="inlineStr">
        <is>
          <t>2025-11-05</t>
        </is>
      </c>
    </row>
    <row r="5">
      <c r="A5" s="7" t="inlineStr">
        <is>
          <t>Amount (LD_Dis_Amt)</t>
        </is>
      </c>
      <c r="B5" s="9" t="n">
        <v>1000000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4</v>
      </c>
    </row>
    <row r="8">
      <c r="A8" s="7" t="inlineStr">
        <is>
          <t>Type (LD_Type)</t>
        </is>
      </c>
      <c r="B8" s="8" t="inlineStr">
        <is>
          <t>ថេរ (flat)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2025-11-10</t>
        </is>
      </c>
    </row>
    <row r="12">
      <c r="A12" s="7" t="inlineStr">
        <is>
          <t>Maturity (LD_Mat_Date)</t>
        </is>
      </c>
      <c r="B12" s="8" t="inlineStr">
        <is>
          <t>2025-12-25</t>
        </is>
      </c>
    </row>
    <row r="13">
      <c r="A13" s="7" t="inlineStr">
        <is>
          <t>Holidays in range</t>
        </is>
      </c>
      <c r="B13" s="8" t="inlineStr">
        <is>
          <t>2025-11-05 (BK_Holiday), 2025-11-06 (BK_Holiday), 2025-11-09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2025-11-10</t>
        </is>
      </c>
      <c r="C17" s="14" t="inlineStr">
        <is>
          <t>2025-11-10</t>
        </is>
      </c>
      <c r="D17" s="13" t="inlineStr">
        <is>
          <t>Monday</t>
        </is>
      </c>
      <c r="E17" s="13" t="inlineStr"/>
      <c r="F17" s="15" t="n">
        <v>5</v>
      </c>
      <c r="G17" s="16" t="n">
        <v>250000</v>
      </c>
      <c r="H17" s="17" t="n">
        <v>3333.333333333333</v>
      </c>
      <c r="I17" s="16" t="n">
        <v>750000</v>
      </c>
      <c r="J17" s="16" t="n">
        <v>250000</v>
      </c>
      <c r="K17" s="16" t="n">
        <v>3400</v>
      </c>
      <c r="L17" s="16" t="n">
        <v>750000</v>
      </c>
      <c r="M17" s="16">
        <f>J17+K17</f>
        <v/>
      </c>
    </row>
    <row r="18">
      <c r="A18" s="13" t="n">
        <v>2</v>
      </c>
      <c r="B18" s="14" t="inlineStr">
        <is>
          <t>2025-11-25</t>
        </is>
      </c>
      <c r="C18" s="14" t="inlineStr">
        <is>
          <t>2025-11-25</t>
        </is>
      </c>
      <c r="D18" s="13" t="inlineStr">
        <is>
          <t>Tuesday</t>
        </is>
      </c>
      <c r="E18" s="13" t="inlineStr"/>
      <c r="F18" s="13" t="n">
        <v>15</v>
      </c>
      <c r="G18" s="16" t="n">
        <v>250000</v>
      </c>
      <c r="H18" s="16" t="n">
        <v>10000</v>
      </c>
      <c r="I18" s="16" t="n">
        <v>500000</v>
      </c>
      <c r="J18" s="16" t="n">
        <v>250000</v>
      </c>
      <c r="K18" s="16" t="n">
        <v>10000</v>
      </c>
      <c r="L18" s="16" t="n">
        <v>500000</v>
      </c>
      <c r="M18" s="16">
        <f>J18+K18</f>
        <v/>
      </c>
    </row>
    <row r="19">
      <c r="A19" s="13" t="n">
        <v>3</v>
      </c>
      <c r="B19" s="14" t="inlineStr">
        <is>
          <t>2025-12-10</t>
        </is>
      </c>
      <c r="C19" s="14" t="inlineStr">
        <is>
          <t>2025-12-10</t>
        </is>
      </c>
      <c r="D19" s="13" t="inlineStr">
        <is>
          <t>Wednesday</t>
        </is>
      </c>
      <c r="E19" s="13" t="inlineStr"/>
      <c r="F19" s="13" t="n">
        <v>15</v>
      </c>
      <c r="G19" s="16" t="n">
        <v>250000</v>
      </c>
      <c r="H19" s="16" t="n">
        <v>10000</v>
      </c>
      <c r="I19" s="16" t="n">
        <v>250000</v>
      </c>
      <c r="J19" s="16" t="n">
        <v>250000</v>
      </c>
      <c r="K19" s="16" t="n">
        <v>10000</v>
      </c>
      <c r="L19" s="16" t="n">
        <v>250000</v>
      </c>
      <c r="M19" s="16">
        <f>J19+K19</f>
        <v/>
      </c>
    </row>
    <row r="20">
      <c r="A20" s="13" t="n">
        <v>4</v>
      </c>
      <c r="B20" s="14" t="inlineStr">
        <is>
          <t>2025-12-25</t>
        </is>
      </c>
      <c r="C20" s="14" t="inlineStr">
        <is>
          <t>2025-12-25</t>
        </is>
      </c>
      <c r="D20" s="13" t="inlineStr">
        <is>
          <t>Thursday</t>
        </is>
      </c>
      <c r="E20" s="13" t="inlineStr"/>
      <c r="F20" s="13" t="n">
        <v>15</v>
      </c>
      <c r="G20" s="16" t="n">
        <v>250000</v>
      </c>
      <c r="H20" s="16" t="n">
        <v>10000</v>
      </c>
      <c r="I20" s="16" t="n">
        <v>0</v>
      </c>
      <c r="J20" s="16" t="n">
        <v>250000</v>
      </c>
      <c r="K20" s="16" t="n">
        <v>10000</v>
      </c>
      <c r="L20" s="16" t="n">
        <v>0</v>
      </c>
      <c r="M20" s="16">
        <f>J20+K20</f>
        <v/>
      </c>
    </row>
    <row r="21">
      <c r="A21" s="7" t="inlineStr">
        <is>
          <t>Total</t>
        </is>
      </c>
      <c r="G21" s="20">
        <f>SUM(G17:G20)</f>
        <v/>
      </c>
      <c r="H21" s="20">
        <f>SUM(H17:H20)</f>
        <v/>
      </c>
      <c r="J21" s="20">
        <f>SUM(J17:J20)</f>
        <v/>
      </c>
      <c r="K21" s="20">
        <f>SUM(K17:K20)</f>
        <v/>
      </c>
      <c r="M21" s="20">
        <f>SUM(M17:M20)</f>
        <v/>
      </c>
    </row>
    <row r="22">
      <c r="A22" s="21" t="inlineStr">
        <is>
          <t>Check: principal total equals amount</t>
        </is>
      </c>
      <c r="G22" s="22">
        <f>IF(ROUND(G21-B5,2)=0,"OK","DIFF")</f>
        <v/>
      </c>
    </row>
    <row r="23">
      <c r="A23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5 Disbursed on a payday</t>
        </is>
      </c>
    </row>
    <row r="2" ht="42" customHeight="1">
      <c r="A2" s="2" t="inlineStr">
        <is>
          <t>Disbursed on 25 Nov 2025 itself: the next payday is 10 Dec (15 days), nothing is skipped.</t>
        </is>
      </c>
    </row>
    <row r="4">
      <c r="A4" s="7" t="inlineStr">
        <is>
          <t>Disbursement date (LD_Dis_Date)</t>
        </is>
      </c>
      <c r="B4" s="8" t="inlineStr">
        <is>
          <t>2025-11-25</t>
        </is>
      </c>
    </row>
    <row r="5">
      <c r="A5" s="7" t="inlineStr">
        <is>
          <t>Amount (LD_Dis_Amt)</t>
        </is>
      </c>
      <c r="B5" s="9" t="n">
        <v>2000000</v>
      </c>
    </row>
    <row r="6">
      <c r="A6" s="7" t="inlineStr">
        <is>
          <t>Rate per month % (LD_IntRate)</t>
        </is>
      </c>
      <c r="B6" s="10" t="n">
        <v>3</v>
      </c>
    </row>
    <row r="7">
      <c r="A7" s="7" t="inlineStr">
        <is>
          <t>Term = installments (LD_Term)</t>
        </is>
      </c>
      <c r="B7" s="10" t="n">
        <v>4</v>
      </c>
    </row>
    <row r="8">
      <c r="A8" s="7" t="inlineStr">
        <is>
          <t>Type (LD_Type)</t>
        </is>
      </c>
      <c r="B8" s="8" t="inlineStr">
        <is>
          <t>ថេរ (flat)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2025-12-10</t>
        </is>
      </c>
    </row>
    <row r="12">
      <c r="A12" s="7" t="inlineStr">
        <is>
          <t>Maturity (LD_Mat_Date)</t>
        </is>
      </c>
      <c r="B12" s="8" t="inlineStr">
        <is>
          <t>2026-01-26</t>
        </is>
      </c>
    </row>
    <row r="13">
      <c r="A13" s="7" t="inlineStr">
        <is>
          <t>Holidays in range</t>
        </is>
      </c>
      <c r="B13" s="8" t="inlineStr">
        <is>
          <t>2025-12-29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2025-12-10</t>
        </is>
      </c>
      <c r="C17" s="14" t="inlineStr">
        <is>
          <t>2025-12-10</t>
        </is>
      </c>
      <c r="D17" s="13" t="inlineStr">
        <is>
          <t>Wednesday</t>
        </is>
      </c>
      <c r="E17" s="13" t="inlineStr"/>
      <c r="F17" s="15" t="n">
        <v>15</v>
      </c>
      <c r="G17" s="16" t="n">
        <v>500000</v>
      </c>
      <c r="H17" s="17" t="n">
        <v>30000</v>
      </c>
      <c r="I17" s="16" t="n">
        <v>1500000</v>
      </c>
      <c r="J17" s="16" t="n">
        <v>500000</v>
      </c>
      <c r="K17" s="16" t="n">
        <v>30000</v>
      </c>
      <c r="L17" s="16" t="n">
        <v>1500000</v>
      </c>
      <c r="M17" s="16">
        <f>J17+K17</f>
        <v/>
      </c>
    </row>
    <row r="18">
      <c r="A18" s="13" t="n">
        <v>2</v>
      </c>
      <c r="B18" s="14" t="inlineStr">
        <is>
          <t>2025-12-25</t>
        </is>
      </c>
      <c r="C18" s="14" t="inlineStr">
        <is>
          <t>2025-12-25</t>
        </is>
      </c>
      <c r="D18" s="13" t="inlineStr">
        <is>
          <t>Thursday</t>
        </is>
      </c>
      <c r="E18" s="13" t="inlineStr"/>
      <c r="F18" s="13" t="n">
        <v>15</v>
      </c>
      <c r="G18" s="16" t="n">
        <v>500000</v>
      </c>
      <c r="H18" s="16" t="n">
        <v>30000</v>
      </c>
      <c r="I18" s="16" t="n">
        <v>1000000</v>
      </c>
      <c r="J18" s="16" t="n">
        <v>500000</v>
      </c>
      <c r="K18" s="16" t="n">
        <v>30000</v>
      </c>
      <c r="L18" s="16" t="n">
        <v>1000000</v>
      </c>
      <c r="M18" s="16">
        <f>J18+K18</f>
        <v/>
      </c>
    </row>
    <row r="19">
      <c r="A19" s="13" t="n">
        <v>3</v>
      </c>
      <c r="B19" s="18" t="inlineStr">
        <is>
          <t>2026-01-10</t>
        </is>
      </c>
      <c r="C19" s="18" t="inlineStr">
        <is>
          <t>2026-01-12</t>
        </is>
      </c>
      <c r="D19" s="19" t="inlineStr">
        <is>
          <t>Monday</t>
        </is>
      </c>
      <c r="E19" s="19" t="inlineStr">
        <is>
          <t>yes</t>
        </is>
      </c>
      <c r="F19" s="13" t="n">
        <v>16</v>
      </c>
      <c r="G19" s="16" t="n">
        <v>500000</v>
      </c>
      <c r="H19" s="16" t="n">
        <v>30000</v>
      </c>
      <c r="I19" s="16" t="n">
        <v>500000</v>
      </c>
      <c r="J19" s="16" t="n">
        <v>500000</v>
      </c>
      <c r="K19" s="16" t="n">
        <v>30000</v>
      </c>
      <c r="L19" s="16" t="n">
        <v>500000</v>
      </c>
      <c r="M19" s="16">
        <f>J19+K19</f>
        <v/>
      </c>
    </row>
    <row r="20">
      <c r="A20" s="13" t="n">
        <v>4</v>
      </c>
      <c r="B20" s="18" t="inlineStr">
        <is>
          <t>2026-01-25</t>
        </is>
      </c>
      <c r="C20" s="18" t="inlineStr">
        <is>
          <t>2026-01-26</t>
        </is>
      </c>
      <c r="D20" s="19" t="inlineStr">
        <is>
          <t>Monday</t>
        </is>
      </c>
      <c r="E20" s="19" t="inlineStr">
        <is>
          <t>yes</t>
        </is>
      </c>
      <c r="F20" s="13" t="n">
        <v>15</v>
      </c>
      <c r="G20" s="16" t="n">
        <v>500000</v>
      </c>
      <c r="H20" s="16" t="n">
        <v>30000</v>
      </c>
      <c r="I20" s="16" t="n">
        <v>0</v>
      </c>
      <c r="J20" s="16" t="n">
        <v>500000</v>
      </c>
      <c r="K20" s="16" t="n">
        <v>30000</v>
      </c>
      <c r="L20" s="16" t="n">
        <v>0</v>
      </c>
      <c r="M20" s="16">
        <f>J20+K20</f>
        <v/>
      </c>
    </row>
    <row r="21">
      <c r="A21" s="7" t="inlineStr">
        <is>
          <t>Total</t>
        </is>
      </c>
      <c r="G21" s="20">
        <f>SUM(G17:G20)</f>
        <v/>
      </c>
      <c r="H21" s="20">
        <f>SUM(H17:H20)</f>
        <v/>
      </c>
      <c r="J21" s="20">
        <f>SUM(J17:J20)</f>
        <v/>
      </c>
      <c r="K21" s="20">
        <f>SUM(K17:K20)</f>
        <v/>
      </c>
      <c r="M21" s="20">
        <f>SUM(M17:M20)</f>
        <v/>
      </c>
    </row>
    <row r="22">
      <c r="A22" s="21" t="inlineStr">
        <is>
          <t>Check: principal total equals amount</t>
        </is>
      </c>
      <c r="G22" s="22">
        <f>IF(ROUND(G21-B5,2)=0,"OK","DIFF")</f>
        <v/>
      </c>
    </row>
    <row r="23">
      <c r="A23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6 Single holiday - collect before</t>
        </is>
      </c>
    </row>
    <row r="2" ht="42" customHeight="1">
      <c r="A2" s="2" t="inlineStr">
        <is>
          <t>Simulated holiday on Thu 25 Dec 2025 (1 closed day, no weekend touching it): collected on Wed 24 Dec. Interest unchanged.</t>
        </is>
      </c>
    </row>
    <row r="4">
      <c r="A4" s="7" t="inlineStr">
        <is>
          <t>Disbursement date (LD_Dis_Date)</t>
        </is>
      </c>
      <c r="B4" s="8" t="inlineStr">
        <is>
          <t>2025-11-03</t>
        </is>
      </c>
    </row>
    <row r="5">
      <c r="A5" s="7" t="inlineStr">
        <is>
          <t>Amount (LD_Dis_Amt)</t>
        </is>
      </c>
      <c r="B5" s="9" t="n">
        <v>1000000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4</v>
      </c>
    </row>
    <row r="8">
      <c r="A8" s="7" t="inlineStr">
        <is>
          <t>Type (LD_Type)</t>
        </is>
      </c>
      <c r="B8" s="8" t="inlineStr">
        <is>
          <t>ថេរ (flat)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2025-11-10</t>
        </is>
      </c>
    </row>
    <row r="12">
      <c r="A12" s="7" t="inlineStr">
        <is>
          <t>Maturity (LD_Mat_Date)</t>
        </is>
      </c>
      <c r="B12" s="8" t="inlineStr">
        <is>
          <t>2025-12-24</t>
        </is>
      </c>
    </row>
    <row r="13">
      <c r="A13" s="7" t="inlineStr">
        <is>
          <t>Holidays in range</t>
        </is>
      </c>
      <c r="B13" s="8" t="inlineStr">
        <is>
          <t>2025-11-04 (BK_Holiday), 2025-11-05 (BK_Holiday), 2025-11-06 (BK_Holiday), 2025-11-09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2025-11-10</t>
        </is>
      </c>
      <c r="C17" s="14" t="inlineStr">
        <is>
          <t>2025-11-10</t>
        </is>
      </c>
      <c r="D17" s="13" t="inlineStr">
        <is>
          <t>Monday</t>
        </is>
      </c>
      <c r="E17" s="13" t="inlineStr"/>
      <c r="F17" s="15" t="n">
        <v>7</v>
      </c>
      <c r="G17" s="16" t="n">
        <v>250000</v>
      </c>
      <c r="H17" s="17" t="n">
        <v>4666.666666666666</v>
      </c>
      <c r="I17" s="16" t="n">
        <v>750000</v>
      </c>
      <c r="J17" s="16" t="n">
        <v>250000</v>
      </c>
      <c r="K17" s="16" t="n">
        <v>4700</v>
      </c>
      <c r="L17" s="16" t="n">
        <v>750000</v>
      </c>
      <c r="M17" s="16">
        <f>J17+K17</f>
        <v/>
      </c>
    </row>
    <row r="18">
      <c r="A18" s="13" t="n">
        <v>2</v>
      </c>
      <c r="B18" s="14" t="inlineStr">
        <is>
          <t>2025-11-25</t>
        </is>
      </c>
      <c r="C18" s="14" t="inlineStr">
        <is>
          <t>2025-11-25</t>
        </is>
      </c>
      <c r="D18" s="13" t="inlineStr">
        <is>
          <t>Tuesday</t>
        </is>
      </c>
      <c r="E18" s="13" t="inlineStr"/>
      <c r="F18" s="13" t="n">
        <v>15</v>
      </c>
      <c r="G18" s="16" t="n">
        <v>250000</v>
      </c>
      <c r="H18" s="16" t="n">
        <v>10000</v>
      </c>
      <c r="I18" s="16" t="n">
        <v>500000</v>
      </c>
      <c r="J18" s="16" t="n">
        <v>250000</v>
      </c>
      <c r="K18" s="16" t="n">
        <v>10000</v>
      </c>
      <c r="L18" s="16" t="n">
        <v>500000</v>
      </c>
      <c r="M18" s="16">
        <f>J18+K18</f>
        <v/>
      </c>
    </row>
    <row r="19">
      <c r="A19" s="13" t="n">
        <v>3</v>
      </c>
      <c r="B19" s="14" t="inlineStr">
        <is>
          <t>2025-12-10</t>
        </is>
      </c>
      <c r="C19" s="14" t="inlineStr">
        <is>
          <t>2025-12-10</t>
        </is>
      </c>
      <c r="D19" s="13" t="inlineStr">
        <is>
          <t>Wednesday</t>
        </is>
      </c>
      <c r="E19" s="13" t="inlineStr"/>
      <c r="F19" s="13" t="n">
        <v>15</v>
      </c>
      <c r="G19" s="16" t="n">
        <v>250000</v>
      </c>
      <c r="H19" s="16" t="n">
        <v>10000</v>
      </c>
      <c r="I19" s="16" t="n">
        <v>250000</v>
      </c>
      <c r="J19" s="16" t="n">
        <v>250000</v>
      </c>
      <c r="K19" s="16" t="n">
        <v>10000</v>
      </c>
      <c r="L19" s="16" t="n">
        <v>250000</v>
      </c>
      <c r="M19" s="16">
        <f>J19+K19</f>
        <v/>
      </c>
    </row>
    <row r="20">
      <c r="A20" s="13" t="n">
        <v>4</v>
      </c>
      <c r="B20" s="18" t="inlineStr">
        <is>
          <t>2025-12-25</t>
        </is>
      </c>
      <c r="C20" s="18" t="inlineStr">
        <is>
          <t>2025-12-24</t>
        </is>
      </c>
      <c r="D20" s="19" t="inlineStr">
        <is>
          <t>Wednesday</t>
        </is>
      </c>
      <c r="E20" s="19" t="inlineStr">
        <is>
          <t>yes</t>
        </is>
      </c>
      <c r="F20" s="13" t="n">
        <v>15</v>
      </c>
      <c r="G20" s="16" t="n">
        <v>250000</v>
      </c>
      <c r="H20" s="16" t="n">
        <v>10000</v>
      </c>
      <c r="I20" s="16" t="n">
        <v>0</v>
      </c>
      <c r="J20" s="16" t="n">
        <v>250000</v>
      </c>
      <c r="K20" s="16" t="n">
        <v>10000</v>
      </c>
      <c r="L20" s="16" t="n">
        <v>0</v>
      </c>
      <c r="M20" s="16">
        <f>J20+K20</f>
        <v/>
      </c>
    </row>
    <row r="21">
      <c r="A21" s="7" t="inlineStr">
        <is>
          <t>Total</t>
        </is>
      </c>
      <c r="G21" s="20">
        <f>SUM(G17:G20)</f>
        <v/>
      </c>
      <c r="H21" s="20">
        <f>SUM(H17:H20)</f>
        <v/>
      </c>
      <c r="J21" s="20">
        <f>SUM(J17:J20)</f>
        <v/>
      </c>
      <c r="K21" s="20">
        <f>SUM(K17:K20)</f>
        <v/>
      </c>
      <c r="M21" s="20">
        <f>SUM(M17:M20)</f>
        <v/>
      </c>
    </row>
    <row r="22">
      <c r="A22" s="21" t="inlineStr">
        <is>
          <t>Check: principal total equals amount</t>
        </is>
      </c>
      <c r="G22" s="22">
        <f>IF(ROUND(G21-B5,2)=0,"OK","DIFF")</f>
        <v/>
      </c>
    </row>
    <row r="23">
      <c r="A23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7 Holiday + weekend - collect after</t>
        </is>
      </c>
    </row>
    <row r="2" ht="42" customHeight="1">
      <c r="A2" s="2" t="inlineStr">
        <is>
          <t>Simulated holiday on Fri 10 Apr 2026 joined to the weekend (3 closed days): collected on Mon 13 Apr. Also 10 Jan / 25 Jan 2026 weekends.</t>
        </is>
      </c>
    </row>
    <row r="4">
      <c r="A4" s="7" t="inlineStr">
        <is>
          <t>Disbursement date (LD_Dis_Date)</t>
        </is>
      </c>
      <c r="B4" s="8" t="inlineStr">
        <is>
          <t>2025-12-01</t>
        </is>
      </c>
    </row>
    <row r="5">
      <c r="A5" s="7" t="inlineStr">
        <is>
          <t>Amount (LD_Dis_Amt)</t>
        </is>
      </c>
      <c r="B5" s="9" t="n">
        <v>1000000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10</v>
      </c>
    </row>
    <row r="8">
      <c r="A8" s="7" t="inlineStr">
        <is>
          <t>Type (LD_Type)</t>
        </is>
      </c>
      <c r="B8" s="8" t="inlineStr">
        <is>
          <t>ថេរ (flat)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2025-12-10</t>
        </is>
      </c>
    </row>
    <row r="12">
      <c r="A12" s="7" t="inlineStr">
        <is>
          <t>Maturity (LD_Mat_Date)</t>
        </is>
      </c>
      <c r="B12" s="8" t="inlineStr">
        <is>
          <t>2026-04-27</t>
        </is>
      </c>
    </row>
    <row r="13">
      <c r="A13" s="7" t="inlineStr">
        <is>
          <t>Holidays in range</t>
        </is>
      </c>
      <c r="B13" s="8" t="inlineStr">
        <is>
          <t>2025-12-29 (BK_Holiday), 2026-04-10 (simulated)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2025-12-10</t>
        </is>
      </c>
      <c r="C17" s="14" t="inlineStr">
        <is>
          <t>2025-12-10</t>
        </is>
      </c>
      <c r="D17" s="13" t="inlineStr">
        <is>
          <t>Wednesday</t>
        </is>
      </c>
      <c r="E17" s="13" t="inlineStr"/>
      <c r="F17" s="15" t="n">
        <v>9</v>
      </c>
      <c r="G17" s="16" t="n">
        <v>100000</v>
      </c>
      <c r="H17" s="17" t="n">
        <v>6000</v>
      </c>
      <c r="I17" s="16" t="n">
        <v>900000</v>
      </c>
      <c r="J17" s="16" t="n">
        <v>100000</v>
      </c>
      <c r="K17" s="16" t="n">
        <v>6000</v>
      </c>
      <c r="L17" s="16" t="n">
        <v>900000</v>
      </c>
      <c r="M17" s="16">
        <f>J17+K17</f>
        <v/>
      </c>
    </row>
    <row r="18">
      <c r="A18" s="13" t="n">
        <v>2</v>
      </c>
      <c r="B18" s="14" t="inlineStr">
        <is>
          <t>2025-12-25</t>
        </is>
      </c>
      <c r="C18" s="14" t="inlineStr">
        <is>
          <t>2025-12-25</t>
        </is>
      </c>
      <c r="D18" s="13" t="inlineStr">
        <is>
          <t>Thursday</t>
        </is>
      </c>
      <c r="E18" s="13" t="inlineStr"/>
      <c r="F18" s="13" t="n">
        <v>15</v>
      </c>
      <c r="G18" s="16" t="n">
        <v>100000</v>
      </c>
      <c r="H18" s="16" t="n">
        <v>10000</v>
      </c>
      <c r="I18" s="16" t="n">
        <v>800000</v>
      </c>
      <c r="J18" s="16" t="n">
        <v>100000</v>
      </c>
      <c r="K18" s="16" t="n">
        <v>10000</v>
      </c>
      <c r="L18" s="16" t="n">
        <v>800000</v>
      </c>
      <c r="M18" s="16">
        <f>J18+K18</f>
        <v/>
      </c>
    </row>
    <row r="19">
      <c r="A19" s="13" t="n">
        <v>3</v>
      </c>
      <c r="B19" s="18" t="inlineStr">
        <is>
          <t>2026-01-10</t>
        </is>
      </c>
      <c r="C19" s="18" t="inlineStr">
        <is>
          <t>2026-01-12</t>
        </is>
      </c>
      <c r="D19" s="19" t="inlineStr">
        <is>
          <t>Monday</t>
        </is>
      </c>
      <c r="E19" s="19" t="inlineStr">
        <is>
          <t>yes</t>
        </is>
      </c>
      <c r="F19" s="13" t="n">
        <v>16</v>
      </c>
      <c r="G19" s="16" t="n">
        <v>100000</v>
      </c>
      <c r="H19" s="16" t="n">
        <v>10000</v>
      </c>
      <c r="I19" s="16" t="n">
        <v>700000</v>
      </c>
      <c r="J19" s="16" t="n">
        <v>100000</v>
      </c>
      <c r="K19" s="16" t="n">
        <v>10000</v>
      </c>
      <c r="L19" s="16" t="n">
        <v>700000</v>
      </c>
      <c r="M19" s="16">
        <f>J19+K19</f>
        <v/>
      </c>
    </row>
    <row r="20">
      <c r="A20" s="13" t="n">
        <v>4</v>
      </c>
      <c r="B20" s="18" t="inlineStr">
        <is>
          <t>2026-01-25</t>
        </is>
      </c>
      <c r="C20" s="18" t="inlineStr">
        <is>
          <t>2026-01-26</t>
        </is>
      </c>
      <c r="D20" s="19" t="inlineStr">
        <is>
          <t>Monday</t>
        </is>
      </c>
      <c r="E20" s="19" t="inlineStr">
        <is>
          <t>yes</t>
        </is>
      </c>
      <c r="F20" s="13" t="n">
        <v>15</v>
      </c>
      <c r="G20" s="16" t="n">
        <v>100000</v>
      </c>
      <c r="H20" s="16" t="n">
        <v>10000</v>
      </c>
      <c r="I20" s="16" t="n">
        <v>600000</v>
      </c>
      <c r="J20" s="16" t="n">
        <v>100000</v>
      </c>
      <c r="K20" s="16" t="n">
        <v>10000</v>
      </c>
      <c r="L20" s="16" t="n">
        <v>600000</v>
      </c>
      <c r="M20" s="16">
        <f>J20+K20</f>
        <v/>
      </c>
    </row>
    <row r="21">
      <c r="A21" s="13" t="n">
        <v>5</v>
      </c>
      <c r="B21" s="14" t="inlineStr">
        <is>
          <t>2026-02-10</t>
        </is>
      </c>
      <c r="C21" s="14" t="inlineStr">
        <is>
          <t>2026-02-10</t>
        </is>
      </c>
      <c r="D21" s="13" t="inlineStr">
        <is>
          <t>Tuesday</t>
        </is>
      </c>
      <c r="E21" s="13" t="inlineStr"/>
      <c r="F21" s="13" t="n">
        <v>16</v>
      </c>
      <c r="G21" s="16" t="n">
        <v>100000</v>
      </c>
      <c r="H21" s="16" t="n">
        <v>10000</v>
      </c>
      <c r="I21" s="16" t="n">
        <v>500000</v>
      </c>
      <c r="J21" s="16" t="n">
        <v>100000</v>
      </c>
      <c r="K21" s="16" t="n">
        <v>10000</v>
      </c>
      <c r="L21" s="16" t="n">
        <v>500000</v>
      </c>
      <c r="M21" s="16">
        <f>J21+K21</f>
        <v/>
      </c>
    </row>
    <row r="22">
      <c r="A22" s="13" t="n">
        <v>6</v>
      </c>
      <c r="B22" s="14" t="inlineStr">
        <is>
          <t>2026-02-25</t>
        </is>
      </c>
      <c r="C22" s="14" t="inlineStr">
        <is>
          <t>2026-02-25</t>
        </is>
      </c>
      <c r="D22" s="13" t="inlineStr">
        <is>
          <t>Wednesday</t>
        </is>
      </c>
      <c r="E22" s="13" t="inlineStr"/>
      <c r="F22" s="13" t="n">
        <v>15</v>
      </c>
      <c r="G22" s="16" t="n">
        <v>100000</v>
      </c>
      <c r="H22" s="16" t="n">
        <v>10000</v>
      </c>
      <c r="I22" s="16" t="n">
        <v>400000</v>
      </c>
      <c r="J22" s="16" t="n">
        <v>100000</v>
      </c>
      <c r="K22" s="16" t="n">
        <v>10000</v>
      </c>
      <c r="L22" s="16" t="n">
        <v>400000</v>
      </c>
      <c r="M22" s="16">
        <f>J22+K22</f>
        <v/>
      </c>
    </row>
    <row r="23">
      <c r="A23" s="13" t="n">
        <v>7</v>
      </c>
      <c r="B23" s="14" t="inlineStr">
        <is>
          <t>2026-03-10</t>
        </is>
      </c>
      <c r="C23" s="14" t="inlineStr">
        <is>
          <t>2026-03-10</t>
        </is>
      </c>
      <c r="D23" s="13" t="inlineStr">
        <is>
          <t>Tuesday</t>
        </is>
      </c>
      <c r="E23" s="13" t="inlineStr"/>
      <c r="F23" s="13" t="n">
        <v>13</v>
      </c>
      <c r="G23" s="16" t="n">
        <v>100000</v>
      </c>
      <c r="H23" s="16" t="n">
        <v>10000</v>
      </c>
      <c r="I23" s="16" t="n">
        <v>300000</v>
      </c>
      <c r="J23" s="16" t="n">
        <v>100000</v>
      </c>
      <c r="K23" s="16" t="n">
        <v>10000</v>
      </c>
      <c r="L23" s="16" t="n">
        <v>300000</v>
      </c>
      <c r="M23" s="16">
        <f>J23+K23</f>
        <v/>
      </c>
    </row>
    <row r="24">
      <c r="A24" s="13" t="n">
        <v>8</v>
      </c>
      <c r="B24" s="14" t="inlineStr">
        <is>
          <t>2026-03-25</t>
        </is>
      </c>
      <c r="C24" s="14" t="inlineStr">
        <is>
          <t>2026-03-25</t>
        </is>
      </c>
      <c r="D24" s="13" t="inlineStr">
        <is>
          <t>Wednesday</t>
        </is>
      </c>
      <c r="E24" s="13" t="inlineStr"/>
      <c r="F24" s="13" t="n">
        <v>15</v>
      </c>
      <c r="G24" s="16" t="n">
        <v>100000</v>
      </c>
      <c r="H24" s="16" t="n">
        <v>10000</v>
      </c>
      <c r="I24" s="16" t="n">
        <v>200000</v>
      </c>
      <c r="J24" s="16" t="n">
        <v>100000</v>
      </c>
      <c r="K24" s="16" t="n">
        <v>10000</v>
      </c>
      <c r="L24" s="16" t="n">
        <v>200000</v>
      </c>
      <c r="M24" s="16">
        <f>J24+K24</f>
        <v/>
      </c>
    </row>
    <row r="25">
      <c r="A25" s="13" t="n">
        <v>9</v>
      </c>
      <c r="B25" s="18" t="inlineStr">
        <is>
          <t>2026-04-10</t>
        </is>
      </c>
      <c r="C25" s="18" t="inlineStr">
        <is>
          <t>2026-04-13</t>
        </is>
      </c>
      <c r="D25" s="19" t="inlineStr">
        <is>
          <t>Monday</t>
        </is>
      </c>
      <c r="E25" s="19" t="inlineStr">
        <is>
          <t>yes</t>
        </is>
      </c>
      <c r="F25" s="13" t="n">
        <v>16</v>
      </c>
      <c r="G25" s="16" t="n">
        <v>100000</v>
      </c>
      <c r="H25" s="16" t="n">
        <v>10000</v>
      </c>
      <c r="I25" s="16" t="n">
        <v>100000</v>
      </c>
      <c r="J25" s="16" t="n">
        <v>100000</v>
      </c>
      <c r="K25" s="16" t="n">
        <v>10000</v>
      </c>
      <c r="L25" s="16" t="n">
        <v>100000</v>
      </c>
      <c r="M25" s="16">
        <f>J25+K25</f>
        <v/>
      </c>
    </row>
    <row r="26">
      <c r="A26" s="13" t="n">
        <v>10</v>
      </c>
      <c r="B26" s="18" t="inlineStr">
        <is>
          <t>2026-04-25</t>
        </is>
      </c>
      <c r="C26" s="18" t="inlineStr">
        <is>
          <t>2026-04-27</t>
        </is>
      </c>
      <c r="D26" s="19" t="inlineStr">
        <is>
          <t>Monday</t>
        </is>
      </c>
      <c r="E26" s="19" t="inlineStr">
        <is>
          <t>yes</t>
        </is>
      </c>
      <c r="F26" s="13" t="n">
        <v>15</v>
      </c>
      <c r="G26" s="16" t="n">
        <v>100000</v>
      </c>
      <c r="H26" s="16" t="n">
        <v>10000</v>
      </c>
      <c r="I26" s="16" t="n">
        <v>0</v>
      </c>
      <c r="J26" s="16" t="n">
        <v>100000</v>
      </c>
      <c r="K26" s="16" t="n">
        <v>10000</v>
      </c>
      <c r="L26" s="16" t="n">
        <v>0</v>
      </c>
      <c r="M26" s="16">
        <f>J26+K26</f>
        <v/>
      </c>
    </row>
    <row r="27">
      <c r="A27" s="7" t="inlineStr">
        <is>
          <t>Total</t>
        </is>
      </c>
      <c r="G27" s="20">
        <f>SUM(G17:G26)</f>
        <v/>
      </c>
      <c r="H27" s="20">
        <f>SUM(H17:H26)</f>
        <v/>
      </c>
      <c r="J27" s="20">
        <f>SUM(J17:J26)</f>
        <v/>
      </c>
      <c r="K27" s="20">
        <f>SUM(K17:K26)</f>
        <v/>
      </c>
      <c r="M27" s="20">
        <f>SUM(M17:M26)</f>
        <v/>
      </c>
    </row>
    <row r="28">
      <c r="A28" s="21" t="inlineStr">
        <is>
          <t>Check: principal total equals amount</t>
        </is>
      </c>
      <c r="G28" s="22">
        <f>IF(ROUND(G27-B5,2)=0,"OK","DIFF")</f>
        <v/>
      </c>
    </row>
    <row r="29">
      <c r="A29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8 Two holidays in a row - after</t>
        </is>
      </c>
    </row>
    <row r="2" ht="42" customHeight="1">
      <c r="A2" s="2" t="inlineStr">
        <is>
          <t>Simulated holidays Tue 25 Nov and Wed 26 Nov 2025 (2 closed days): collected Thu 27 Nov.</t>
        </is>
      </c>
    </row>
    <row r="4">
      <c r="A4" s="7" t="inlineStr">
        <is>
          <t>Disbursement date (LD_Dis_Date)</t>
        </is>
      </c>
      <c r="B4" s="8" t="inlineStr">
        <is>
          <t>2025-11-03</t>
        </is>
      </c>
    </row>
    <row r="5">
      <c r="A5" s="7" t="inlineStr">
        <is>
          <t>Amount (LD_Dis_Amt)</t>
        </is>
      </c>
      <c r="B5" s="9" t="n">
        <v>1000000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3</v>
      </c>
    </row>
    <row r="8">
      <c r="A8" s="7" t="inlineStr">
        <is>
          <t>Type (LD_Type)</t>
        </is>
      </c>
      <c r="B8" s="8" t="inlineStr">
        <is>
          <t>ថេរ (flat)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2025-11-10</t>
        </is>
      </c>
    </row>
    <row r="12">
      <c r="A12" s="7" t="inlineStr">
        <is>
          <t>Maturity (LD_Mat_Date)</t>
        </is>
      </c>
      <c r="B12" s="8" t="inlineStr">
        <is>
          <t>2025-12-10</t>
        </is>
      </c>
    </row>
    <row r="13">
      <c r="A13" s="7" t="inlineStr">
        <is>
          <t>Holidays in range</t>
        </is>
      </c>
      <c r="B13" s="8" t="inlineStr">
        <is>
          <t>2025-11-04 (BK_Holiday), 2025-11-05 (BK_Holiday), 2025-11-06 (BK_Holiday), 2025-11-09 (BK_Holiday), 2025-11-25 (simulated), 2025-11-26 (simulated)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2025-11-10</t>
        </is>
      </c>
      <c r="C17" s="14" t="inlineStr">
        <is>
          <t>2025-11-10</t>
        </is>
      </c>
      <c r="D17" s="13" t="inlineStr">
        <is>
          <t>Monday</t>
        </is>
      </c>
      <c r="E17" s="13" t="inlineStr"/>
      <c r="F17" s="15" t="n">
        <v>7</v>
      </c>
      <c r="G17" s="16" t="n">
        <v>333333.33</v>
      </c>
      <c r="H17" s="17" t="n">
        <v>4666.666666666666</v>
      </c>
      <c r="I17" s="16" t="n">
        <v>666666.6699999999</v>
      </c>
      <c r="J17" s="16" t="n">
        <v>333400</v>
      </c>
      <c r="K17" s="16" t="n">
        <v>4700</v>
      </c>
      <c r="L17" s="16" t="n">
        <v>666700</v>
      </c>
      <c r="M17" s="16">
        <f>J17+K17</f>
        <v/>
      </c>
    </row>
    <row r="18">
      <c r="A18" s="13" t="n">
        <v>2</v>
      </c>
      <c r="B18" s="18" t="inlineStr">
        <is>
          <t>2025-11-25</t>
        </is>
      </c>
      <c r="C18" s="18" t="inlineStr">
        <is>
          <t>2025-11-27</t>
        </is>
      </c>
      <c r="D18" s="19" t="inlineStr">
        <is>
          <t>Thursday</t>
        </is>
      </c>
      <c r="E18" s="19" t="inlineStr">
        <is>
          <t>yes</t>
        </is>
      </c>
      <c r="F18" s="13" t="n">
        <v>15</v>
      </c>
      <c r="G18" s="16" t="n">
        <v>333333.33</v>
      </c>
      <c r="H18" s="16" t="n">
        <v>10000</v>
      </c>
      <c r="I18" s="16" t="n">
        <v>333333.3399999999</v>
      </c>
      <c r="J18" s="16" t="n">
        <v>333400</v>
      </c>
      <c r="K18" s="16" t="n">
        <v>10000</v>
      </c>
      <c r="L18" s="16" t="n">
        <v>333400</v>
      </c>
      <c r="M18" s="16">
        <f>J18+K18</f>
        <v/>
      </c>
    </row>
    <row r="19">
      <c r="A19" s="13" t="n">
        <v>3</v>
      </c>
      <c r="B19" s="14" t="inlineStr">
        <is>
          <t>2025-12-10</t>
        </is>
      </c>
      <c r="C19" s="14" t="inlineStr">
        <is>
          <t>2025-12-10</t>
        </is>
      </c>
      <c r="D19" s="13" t="inlineStr">
        <is>
          <t>Wednesday</t>
        </is>
      </c>
      <c r="E19" s="13" t="inlineStr"/>
      <c r="F19" s="13" t="n">
        <v>15</v>
      </c>
      <c r="G19" s="16" t="n">
        <v>333333.3399999999</v>
      </c>
      <c r="H19" s="16" t="n">
        <v>10000</v>
      </c>
      <c r="I19" s="16" t="n">
        <v>0</v>
      </c>
      <c r="J19" s="16" t="n">
        <v>333400</v>
      </c>
      <c r="K19" s="16" t="n">
        <v>10000</v>
      </c>
      <c r="L19" s="16" t="n">
        <v>0</v>
      </c>
      <c r="M19" s="16">
        <f>J19+K19</f>
        <v/>
      </c>
    </row>
    <row r="20">
      <c r="A20" s="7" t="inlineStr">
        <is>
          <t>Total</t>
        </is>
      </c>
      <c r="G20" s="20">
        <f>SUM(G17:G19)</f>
        <v/>
      </c>
      <c r="H20" s="20">
        <f>SUM(H17:H19)</f>
        <v/>
      </c>
      <c r="J20" s="20">
        <f>SUM(J17:J19)</f>
        <v/>
      </c>
      <c r="K20" s="20">
        <f>SUM(K17:K19)</f>
        <v/>
      </c>
      <c r="M20" s="20">
        <f>SUM(M17:M19)</f>
        <v/>
      </c>
    </row>
    <row r="21">
      <c r="A21" s="21" t="inlineStr">
        <is>
          <t>Check: principal total equals amount</t>
        </is>
      </c>
      <c r="G21" s="22">
        <f>IF(ROUND(G20-B5,2)=0,"OK","DIFF")</f>
        <v/>
      </c>
    </row>
    <row r="22">
      <c r="A22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9 USD loan - no rounding</t>
        </is>
      </c>
    </row>
    <row r="2" ht="42" customHeight="1">
      <c r="A2" s="2" t="inlineStr">
        <is>
          <t>USD 500 at 2.5%/month, 4 installments, declining: amounts are stored as computed, no rounding to 100.</t>
        </is>
      </c>
    </row>
    <row r="4">
      <c r="A4" s="7" t="inlineStr">
        <is>
          <t>Disbursement date (LD_Dis_Date)</t>
        </is>
      </c>
      <c r="B4" s="8" t="inlineStr">
        <is>
          <t>2025-11-12</t>
        </is>
      </c>
    </row>
    <row r="5">
      <c r="A5" s="7" t="inlineStr">
        <is>
          <t>Amount (LD_Dis_Amt)</t>
        </is>
      </c>
      <c r="B5" s="9" t="n">
        <v>500</v>
      </c>
    </row>
    <row r="6">
      <c r="A6" s="7" t="inlineStr">
        <is>
          <t>Rate per month % (LD_IntRate)</t>
        </is>
      </c>
      <c r="B6" s="10" t="n">
        <v>2.5</v>
      </c>
    </row>
    <row r="7">
      <c r="A7" s="7" t="inlineStr">
        <is>
          <t>Term = installments (LD_Term)</t>
        </is>
      </c>
      <c r="B7" s="10" t="n">
        <v>4</v>
      </c>
    </row>
    <row r="8">
      <c r="A8" s="7" t="inlineStr">
        <is>
          <t>Type (LD_Type)</t>
        </is>
      </c>
      <c r="B8" s="8" t="inlineStr">
        <is>
          <t>ចុះ (declining)</t>
        </is>
      </c>
    </row>
    <row r="9">
      <c r="A9" s="7" t="inlineStr">
        <is>
          <t>Currency</t>
        </is>
      </c>
      <c r="B9" s="8" t="inlineStr">
        <is>
          <t>ដុល្លារ (USD)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2025-11-25</t>
        </is>
      </c>
    </row>
    <row r="12">
      <c r="A12" s="7" t="inlineStr">
        <is>
          <t>Maturity (LD_Mat_Date)</t>
        </is>
      </c>
      <c r="B12" s="8" t="inlineStr">
        <is>
          <t>2026-01-12</t>
        </is>
      </c>
    </row>
    <row r="13">
      <c r="A13" s="7" t="inlineStr">
        <is>
          <t>Holidays in range</t>
        </is>
      </c>
      <c r="B13" s="8" t="inlineStr">
        <is>
          <t>2025-12-29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2025-11-25</t>
        </is>
      </c>
      <c r="C17" s="14" t="inlineStr">
        <is>
          <t>2025-11-25</t>
        </is>
      </c>
      <c r="D17" s="13" t="inlineStr">
        <is>
          <t>Tuesday</t>
        </is>
      </c>
      <c r="E17" s="13" t="inlineStr"/>
      <c r="F17" s="15" t="n">
        <v>13</v>
      </c>
      <c r="G17" s="16" t="n">
        <v>125</v>
      </c>
      <c r="H17" s="17" t="n">
        <v>5.416666666666667</v>
      </c>
      <c r="I17" s="16" t="n">
        <v>375</v>
      </c>
      <c r="J17" s="16" t="n">
        <v>125</v>
      </c>
      <c r="K17" s="16" t="n">
        <v>5.416666666666667</v>
      </c>
      <c r="L17" s="16" t="n">
        <v>375</v>
      </c>
      <c r="M17" s="16">
        <f>J17+K17</f>
        <v/>
      </c>
    </row>
    <row r="18">
      <c r="A18" s="13" t="n">
        <v>2</v>
      </c>
      <c r="B18" s="14" t="inlineStr">
        <is>
          <t>2025-12-10</t>
        </is>
      </c>
      <c r="C18" s="14" t="inlineStr">
        <is>
          <t>2025-12-10</t>
        </is>
      </c>
      <c r="D18" s="13" t="inlineStr">
        <is>
          <t>Wednesday</t>
        </is>
      </c>
      <c r="E18" s="13" t="inlineStr"/>
      <c r="F18" s="13" t="n">
        <v>15</v>
      </c>
      <c r="G18" s="16" t="n">
        <v>125</v>
      </c>
      <c r="H18" s="16" t="n">
        <v>4.6875</v>
      </c>
      <c r="I18" s="16" t="n">
        <v>250</v>
      </c>
      <c r="J18" s="16" t="n">
        <v>125</v>
      </c>
      <c r="K18" s="16" t="n">
        <v>4.6875</v>
      </c>
      <c r="L18" s="16" t="n">
        <v>250</v>
      </c>
      <c r="M18" s="16">
        <f>J18+K18</f>
        <v/>
      </c>
    </row>
    <row r="19">
      <c r="A19" s="13" t="n">
        <v>3</v>
      </c>
      <c r="B19" s="14" t="inlineStr">
        <is>
          <t>2025-12-25</t>
        </is>
      </c>
      <c r="C19" s="14" t="inlineStr">
        <is>
          <t>2025-12-25</t>
        </is>
      </c>
      <c r="D19" s="13" t="inlineStr">
        <is>
          <t>Thursday</t>
        </is>
      </c>
      <c r="E19" s="13" t="inlineStr"/>
      <c r="F19" s="13" t="n">
        <v>15</v>
      </c>
      <c r="G19" s="16" t="n">
        <v>125</v>
      </c>
      <c r="H19" s="16" t="n">
        <v>3.125</v>
      </c>
      <c r="I19" s="16" t="n">
        <v>125</v>
      </c>
      <c r="J19" s="16" t="n">
        <v>125</v>
      </c>
      <c r="K19" s="16" t="n">
        <v>3.125</v>
      </c>
      <c r="L19" s="16" t="n">
        <v>125</v>
      </c>
      <c r="M19" s="16">
        <f>J19+K19</f>
        <v/>
      </c>
    </row>
    <row r="20">
      <c r="A20" s="13" t="n">
        <v>4</v>
      </c>
      <c r="B20" s="18" t="inlineStr">
        <is>
          <t>2026-01-10</t>
        </is>
      </c>
      <c r="C20" s="18" t="inlineStr">
        <is>
          <t>2026-01-12</t>
        </is>
      </c>
      <c r="D20" s="19" t="inlineStr">
        <is>
          <t>Monday</t>
        </is>
      </c>
      <c r="E20" s="19" t="inlineStr">
        <is>
          <t>yes</t>
        </is>
      </c>
      <c r="F20" s="13" t="n">
        <v>16</v>
      </c>
      <c r="G20" s="16" t="n">
        <v>125</v>
      </c>
      <c r="H20" s="16" t="n">
        <v>1.5625</v>
      </c>
      <c r="I20" s="16" t="n">
        <v>0</v>
      </c>
      <c r="J20" s="16" t="n">
        <v>125</v>
      </c>
      <c r="K20" s="16" t="n">
        <v>1.5625</v>
      </c>
      <c r="L20" s="16" t="n">
        <v>0</v>
      </c>
      <c r="M20" s="16">
        <f>J20+K20</f>
        <v/>
      </c>
    </row>
    <row r="21">
      <c r="A21" s="7" t="inlineStr">
        <is>
          <t>Total</t>
        </is>
      </c>
      <c r="G21" s="20">
        <f>SUM(G17:G20)</f>
        <v/>
      </c>
      <c r="H21" s="20">
        <f>SUM(H17:H20)</f>
        <v/>
      </c>
      <c r="J21" s="20">
        <f>SUM(J17:J20)</f>
        <v/>
      </c>
      <c r="K21" s="20">
        <f>SUM(K17:K20)</f>
        <v/>
      </c>
      <c r="M21" s="20">
        <f>SUM(M17:M20)</f>
        <v/>
      </c>
    </row>
    <row r="22">
      <c r="A22" s="21" t="inlineStr">
        <is>
          <t>Check: principal total equals amount</t>
        </is>
      </c>
      <c r="G22" s="22">
        <f>IF(ROUND(G21-B5,2)=0,"OK","DIFF")</f>
        <v/>
      </c>
    </row>
    <row r="23">
      <c r="A23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10 Principal remainder</t>
        </is>
      </c>
    </row>
    <row r="2" ht="42" customHeight="1">
      <c r="A2" s="2" t="inlineStr">
        <is>
          <t>1,000,000 KHR over 7 installments: 142,857.14 x 6 and the last one 142,857.16 so the balance ends at exactly 0.</t>
        </is>
      </c>
    </row>
    <row r="4">
      <c r="A4" s="7" t="inlineStr">
        <is>
          <t>Disbursement date (LD_Dis_Date)</t>
        </is>
      </c>
      <c r="B4" s="8" t="inlineStr">
        <is>
          <t>2025-11-03</t>
        </is>
      </c>
    </row>
    <row r="5">
      <c r="A5" s="7" t="inlineStr">
        <is>
          <t>Amount (LD_Dis_Amt)</t>
        </is>
      </c>
      <c r="B5" s="9" t="n">
        <v>1000000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7</v>
      </c>
    </row>
    <row r="8">
      <c r="A8" s="7" t="inlineStr">
        <is>
          <t>Type (LD_Type)</t>
        </is>
      </c>
      <c r="B8" s="8" t="inlineStr">
        <is>
          <t>ថេរ (flat)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2025-11-10</t>
        </is>
      </c>
    </row>
    <row r="12">
      <c r="A12" s="7" t="inlineStr">
        <is>
          <t>Maturity (LD_Mat_Date)</t>
        </is>
      </c>
      <c r="B12" s="8" t="inlineStr">
        <is>
          <t>2026-02-10</t>
        </is>
      </c>
    </row>
    <row r="13">
      <c r="A13" s="7" t="inlineStr">
        <is>
          <t>Holidays in range</t>
        </is>
      </c>
      <c r="B13" s="8" t="inlineStr">
        <is>
          <t>2025-11-04 (BK_Holiday), 2025-11-05 (BK_Holiday), 2025-11-06 (BK_Holiday), 2025-11-09 (BK_Holiday), 2025-12-29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2025-11-10</t>
        </is>
      </c>
      <c r="C17" s="14" t="inlineStr">
        <is>
          <t>2025-11-10</t>
        </is>
      </c>
      <c r="D17" s="13" t="inlineStr">
        <is>
          <t>Monday</t>
        </is>
      </c>
      <c r="E17" s="13" t="inlineStr"/>
      <c r="F17" s="15" t="n">
        <v>7</v>
      </c>
      <c r="G17" s="16" t="n">
        <v>142857.14</v>
      </c>
      <c r="H17" s="17" t="n">
        <v>4666.666666666666</v>
      </c>
      <c r="I17" s="16" t="n">
        <v>857142.86</v>
      </c>
      <c r="J17" s="16" t="n">
        <v>142900</v>
      </c>
      <c r="K17" s="16" t="n">
        <v>4700</v>
      </c>
      <c r="L17" s="16" t="n">
        <v>857200</v>
      </c>
      <c r="M17" s="16">
        <f>J17+K17</f>
        <v/>
      </c>
    </row>
    <row r="18">
      <c r="A18" s="13" t="n">
        <v>2</v>
      </c>
      <c r="B18" s="14" t="inlineStr">
        <is>
          <t>2025-11-25</t>
        </is>
      </c>
      <c r="C18" s="14" t="inlineStr">
        <is>
          <t>2025-11-25</t>
        </is>
      </c>
      <c r="D18" s="13" t="inlineStr">
        <is>
          <t>Tuesday</t>
        </is>
      </c>
      <c r="E18" s="13" t="inlineStr"/>
      <c r="F18" s="13" t="n">
        <v>15</v>
      </c>
      <c r="G18" s="16" t="n">
        <v>142857.14</v>
      </c>
      <c r="H18" s="16" t="n">
        <v>10000</v>
      </c>
      <c r="I18" s="16" t="n">
        <v>714285.72</v>
      </c>
      <c r="J18" s="16" t="n">
        <v>142900</v>
      </c>
      <c r="K18" s="16" t="n">
        <v>10000</v>
      </c>
      <c r="L18" s="16" t="n">
        <v>714300</v>
      </c>
      <c r="M18" s="16">
        <f>J18+K18</f>
        <v/>
      </c>
    </row>
    <row r="19">
      <c r="A19" s="13" t="n">
        <v>3</v>
      </c>
      <c r="B19" s="14" t="inlineStr">
        <is>
          <t>2025-12-10</t>
        </is>
      </c>
      <c r="C19" s="14" t="inlineStr">
        <is>
          <t>2025-12-10</t>
        </is>
      </c>
      <c r="D19" s="13" t="inlineStr">
        <is>
          <t>Wednesday</t>
        </is>
      </c>
      <c r="E19" s="13" t="inlineStr"/>
      <c r="F19" s="13" t="n">
        <v>15</v>
      </c>
      <c r="G19" s="16" t="n">
        <v>142857.14</v>
      </c>
      <c r="H19" s="16" t="n">
        <v>10000</v>
      </c>
      <c r="I19" s="16" t="n">
        <v>571428.58</v>
      </c>
      <c r="J19" s="16" t="n">
        <v>142900</v>
      </c>
      <c r="K19" s="16" t="n">
        <v>10000</v>
      </c>
      <c r="L19" s="16" t="n">
        <v>571500</v>
      </c>
      <c r="M19" s="16">
        <f>J19+K19</f>
        <v/>
      </c>
    </row>
    <row r="20">
      <c r="A20" s="13" t="n">
        <v>4</v>
      </c>
      <c r="B20" s="14" t="inlineStr">
        <is>
          <t>2025-12-25</t>
        </is>
      </c>
      <c r="C20" s="14" t="inlineStr">
        <is>
          <t>2025-12-25</t>
        </is>
      </c>
      <c r="D20" s="13" t="inlineStr">
        <is>
          <t>Thursday</t>
        </is>
      </c>
      <c r="E20" s="13" t="inlineStr"/>
      <c r="F20" s="13" t="n">
        <v>15</v>
      </c>
      <c r="G20" s="16" t="n">
        <v>142857.14</v>
      </c>
      <c r="H20" s="16" t="n">
        <v>10000</v>
      </c>
      <c r="I20" s="16" t="n">
        <v>428571.4399999999</v>
      </c>
      <c r="J20" s="16" t="n">
        <v>142900</v>
      </c>
      <c r="K20" s="16" t="n">
        <v>10000</v>
      </c>
      <c r="L20" s="16" t="n">
        <v>428600</v>
      </c>
      <c r="M20" s="16">
        <f>J20+K20</f>
        <v/>
      </c>
    </row>
    <row r="21">
      <c r="A21" s="13" t="n">
        <v>5</v>
      </c>
      <c r="B21" s="18" t="inlineStr">
        <is>
          <t>2026-01-10</t>
        </is>
      </c>
      <c r="C21" s="18" t="inlineStr">
        <is>
          <t>2026-01-12</t>
        </is>
      </c>
      <c r="D21" s="19" t="inlineStr">
        <is>
          <t>Monday</t>
        </is>
      </c>
      <c r="E21" s="19" t="inlineStr">
        <is>
          <t>yes</t>
        </is>
      </c>
      <c r="F21" s="13" t="n">
        <v>16</v>
      </c>
      <c r="G21" s="16" t="n">
        <v>142857.14</v>
      </c>
      <c r="H21" s="16" t="n">
        <v>10000</v>
      </c>
      <c r="I21" s="16" t="n">
        <v>285714.2999999999</v>
      </c>
      <c r="J21" s="16" t="n">
        <v>142900</v>
      </c>
      <c r="K21" s="16" t="n">
        <v>10000</v>
      </c>
      <c r="L21" s="16" t="n">
        <v>285800</v>
      </c>
      <c r="M21" s="16">
        <f>J21+K21</f>
        <v/>
      </c>
    </row>
    <row r="22">
      <c r="A22" s="13" t="n">
        <v>6</v>
      </c>
      <c r="B22" s="18" t="inlineStr">
        <is>
          <t>2026-01-25</t>
        </is>
      </c>
      <c r="C22" s="18" t="inlineStr">
        <is>
          <t>2026-01-26</t>
        </is>
      </c>
      <c r="D22" s="19" t="inlineStr">
        <is>
          <t>Monday</t>
        </is>
      </c>
      <c r="E22" s="19" t="inlineStr">
        <is>
          <t>yes</t>
        </is>
      </c>
      <c r="F22" s="13" t="n">
        <v>15</v>
      </c>
      <c r="G22" s="16" t="n">
        <v>142857.14</v>
      </c>
      <c r="H22" s="16" t="n">
        <v>10000</v>
      </c>
      <c r="I22" s="16" t="n">
        <v>142857.1599999999</v>
      </c>
      <c r="J22" s="16" t="n">
        <v>142900</v>
      </c>
      <c r="K22" s="16" t="n">
        <v>10000</v>
      </c>
      <c r="L22" s="16" t="n">
        <v>142900</v>
      </c>
      <c r="M22" s="16">
        <f>J22+K22</f>
        <v/>
      </c>
    </row>
    <row r="23">
      <c r="A23" s="13" t="n">
        <v>7</v>
      </c>
      <c r="B23" s="14" t="inlineStr">
        <is>
          <t>2026-02-10</t>
        </is>
      </c>
      <c r="C23" s="14" t="inlineStr">
        <is>
          <t>2026-02-10</t>
        </is>
      </c>
      <c r="D23" s="13" t="inlineStr">
        <is>
          <t>Tuesday</t>
        </is>
      </c>
      <c r="E23" s="13" t="inlineStr"/>
      <c r="F23" s="13" t="n">
        <v>16</v>
      </c>
      <c r="G23" s="16" t="n">
        <v>142857.1599999999</v>
      </c>
      <c r="H23" s="16" t="n">
        <v>10000</v>
      </c>
      <c r="I23" s="16" t="n">
        <v>0</v>
      </c>
      <c r="J23" s="16" t="n">
        <v>142900</v>
      </c>
      <c r="K23" s="16" t="n">
        <v>10000</v>
      </c>
      <c r="L23" s="16" t="n">
        <v>0</v>
      </c>
      <c r="M23" s="16">
        <f>J23+K23</f>
        <v/>
      </c>
    </row>
    <row r="24">
      <c r="A24" s="7" t="inlineStr">
        <is>
          <t>Total</t>
        </is>
      </c>
      <c r="G24" s="20">
        <f>SUM(G17:G23)</f>
        <v/>
      </c>
      <c r="H24" s="20">
        <f>SUM(H17:H23)</f>
        <v/>
      </c>
      <c r="J24" s="20">
        <f>SUM(J17:J23)</f>
        <v/>
      </c>
      <c r="K24" s="20">
        <f>SUM(K17:K23)</f>
        <v/>
      </c>
      <c r="M24" s="20">
        <f>SUM(M17:M23)</f>
        <v/>
      </c>
    </row>
    <row r="25">
      <c r="A25" s="21" t="inlineStr">
        <is>
          <t>Check: principal total equals amount</t>
        </is>
      </c>
      <c r="G25" s="22">
        <f>IF(ROUND(G24-B5,2)=0,"OK","DIFF")</f>
        <v/>
      </c>
    </row>
    <row r="26">
      <c r="A26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11" customWidth="1" min="4" max="4"/>
    <col width="9" customWidth="1" min="5" max="5"/>
    <col width="10" customWidth="1" min="6" max="6"/>
    <col width="15" customWidth="1" min="7" max="7"/>
    <col width="14" customWidth="1" min="8" max="8"/>
    <col width="16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>
      <c r="A1" s="6" t="inlineStr">
        <is>
          <t>11 Year end rollover</t>
        </is>
      </c>
    </row>
    <row r="2" ht="42" customHeight="1">
      <c r="A2" s="2" t="inlineStr">
        <is>
          <t>Disbursed 20 Dec 2025: 25 Dec kept (5 days), then 10 Jan 2026 (Sat -&gt; Mon 12), 25 Jan (Sun -&gt; Mon 26). DB holiday 29 Dec is not a payday so it has no effect.</t>
        </is>
      </c>
    </row>
    <row r="4">
      <c r="A4" s="7" t="inlineStr">
        <is>
          <t>Disbursement date (LD_Dis_Date)</t>
        </is>
      </c>
      <c r="B4" s="8" t="inlineStr">
        <is>
          <t>2025-12-20</t>
        </is>
      </c>
    </row>
    <row r="5">
      <c r="A5" s="7" t="inlineStr">
        <is>
          <t>Amount (LD_Dis_Amt)</t>
        </is>
      </c>
      <c r="B5" s="9" t="n">
        <v>3000000</v>
      </c>
    </row>
    <row r="6">
      <c r="A6" s="7" t="inlineStr">
        <is>
          <t>Rate per month % (LD_IntRate)</t>
        </is>
      </c>
      <c r="B6" s="10" t="n">
        <v>2</v>
      </c>
    </row>
    <row r="7">
      <c r="A7" s="7" t="inlineStr">
        <is>
          <t>Term = installments (LD_Term)</t>
        </is>
      </c>
      <c r="B7" s="10" t="n">
        <v>4</v>
      </c>
    </row>
    <row r="8">
      <c r="A8" s="7" t="inlineStr">
        <is>
          <t>Type (LD_Type)</t>
        </is>
      </c>
      <c r="B8" s="8" t="inlineStr">
        <is>
          <t>ចុះ (declining)</t>
        </is>
      </c>
    </row>
    <row r="9">
      <c r="A9" s="7" t="inlineStr">
        <is>
          <t>Currency</t>
        </is>
      </c>
      <c r="B9" s="8" t="inlineStr">
        <is>
          <t>រៀល (KHR)</t>
        </is>
      </c>
    </row>
    <row r="10">
      <c r="A10" s="7" t="inlineStr">
        <is>
          <t>Unit (LD_Unit)</t>
        </is>
      </c>
      <c r="B10" s="8" t="inlineStr">
        <is>
          <t>រោងចក្រ (factory, code 5)</t>
        </is>
      </c>
    </row>
    <row r="11">
      <c r="A11" s="7" t="inlineStr">
        <is>
          <t>First payment (LD_First_Date)</t>
        </is>
      </c>
      <c r="B11" s="8" t="inlineStr">
        <is>
          <t>2025-12-25</t>
        </is>
      </c>
    </row>
    <row r="12">
      <c r="A12" s="7" t="inlineStr">
        <is>
          <t>Maturity (LD_Mat_Date)</t>
        </is>
      </c>
      <c r="B12" s="8" t="inlineStr">
        <is>
          <t>2026-02-10</t>
        </is>
      </c>
    </row>
    <row r="13">
      <c r="A13" s="7" t="inlineStr">
        <is>
          <t>Holidays in range</t>
        </is>
      </c>
      <c r="B13" s="8" t="inlineStr">
        <is>
          <t>2025-12-29 (BK_Holiday)</t>
        </is>
      </c>
    </row>
    <row r="14" ht="30" customHeight="1">
      <c r="A14" s="11" t="inlineStr">
        <is>
          <t>Interest rule: row 1 = Amount x Rate% / 30 x Days; rows 2+ = basis x Rate% / 2 (basis = Amount for flat, previous SH_Balance_Org for declining). KHR amounts in the _Amt columns are rounded up to the next 100 by ReturnRound; _Org keeps the exact value.</t>
        </is>
      </c>
    </row>
    <row r="16" ht="32" customHeight="1">
      <c r="A16" s="12" t="inlineStr">
        <is>
          <t>No</t>
        </is>
      </c>
      <c r="B16" s="12" t="inlineStr">
        <is>
          <t>Payday (10th/25th)</t>
        </is>
      </c>
      <c r="C16" s="12" t="inlineStr">
        <is>
          <t>SH_Date (due date)</t>
        </is>
      </c>
      <c r="D16" s="12" t="inlineStr">
        <is>
          <t>Weekday</t>
        </is>
      </c>
      <c r="E16" s="12" t="inlineStr">
        <is>
          <t>Shifted?</t>
        </is>
      </c>
      <c r="F16" s="12" t="inlineStr">
        <is>
          <t>Days of interest</t>
        </is>
      </c>
      <c r="G16" s="12" t="inlineStr">
        <is>
          <t>SH_Prn_Org</t>
        </is>
      </c>
      <c r="H16" s="12" t="inlineStr">
        <is>
          <t>SH_Int_Org</t>
        </is>
      </c>
      <c r="I16" s="12" t="inlineStr">
        <is>
          <t>SH_Balance_Org</t>
        </is>
      </c>
      <c r="J16" s="12" t="inlineStr">
        <is>
          <t>SH_Prn_Amt</t>
        </is>
      </c>
      <c r="K16" s="12" t="inlineStr">
        <is>
          <t>SH_Int_Amt</t>
        </is>
      </c>
      <c r="L16" s="12" t="inlineStr">
        <is>
          <t>SH_Balance</t>
        </is>
      </c>
      <c r="M16" s="12" t="inlineStr">
        <is>
          <t>Total to pay (Prn+Int)</t>
        </is>
      </c>
    </row>
    <row r="17">
      <c r="A17" s="13" t="n">
        <v>1</v>
      </c>
      <c r="B17" s="14" t="inlineStr">
        <is>
          <t>2025-12-25</t>
        </is>
      </c>
      <c r="C17" s="14" t="inlineStr">
        <is>
          <t>2025-12-25</t>
        </is>
      </c>
      <c r="D17" s="13" t="inlineStr">
        <is>
          <t>Thursday</t>
        </is>
      </c>
      <c r="E17" s="13" t="inlineStr"/>
      <c r="F17" s="15" t="n">
        <v>5</v>
      </c>
      <c r="G17" s="16" t="n">
        <v>750000</v>
      </c>
      <c r="H17" s="17" t="n">
        <v>10000</v>
      </c>
      <c r="I17" s="16" t="n">
        <v>2250000</v>
      </c>
      <c r="J17" s="16" t="n">
        <v>750000</v>
      </c>
      <c r="K17" s="16" t="n">
        <v>10000</v>
      </c>
      <c r="L17" s="16" t="n">
        <v>2250000</v>
      </c>
      <c r="M17" s="16">
        <f>J17+K17</f>
        <v/>
      </c>
    </row>
    <row r="18">
      <c r="A18" s="13" t="n">
        <v>2</v>
      </c>
      <c r="B18" s="18" t="inlineStr">
        <is>
          <t>2026-01-10</t>
        </is>
      </c>
      <c r="C18" s="18" t="inlineStr">
        <is>
          <t>2026-01-12</t>
        </is>
      </c>
      <c r="D18" s="19" t="inlineStr">
        <is>
          <t>Monday</t>
        </is>
      </c>
      <c r="E18" s="19" t="inlineStr">
        <is>
          <t>yes</t>
        </is>
      </c>
      <c r="F18" s="13" t="n">
        <v>16</v>
      </c>
      <c r="G18" s="16" t="n">
        <v>750000</v>
      </c>
      <c r="H18" s="16" t="n">
        <v>22500</v>
      </c>
      <c r="I18" s="16" t="n">
        <v>1500000</v>
      </c>
      <c r="J18" s="16" t="n">
        <v>750000</v>
      </c>
      <c r="K18" s="16" t="n">
        <v>22500</v>
      </c>
      <c r="L18" s="16" t="n">
        <v>1500000</v>
      </c>
      <c r="M18" s="16">
        <f>J18+K18</f>
        <v/>
      </c>
    </row>
    <row r="19">
      <c r="A19" s="13" t="n">
        <v>3</v>
      </c>
      <c r="B19" s="18" t="inlineStr">
        <is>
          <t>2026-01-25</t>
        </is>
      </c>
      <c r="C19" s="18" t="inlineStr">
        <is>
          <t>2026-01-26</t>
        </is>
      </c>
      <c r="D19" s="19" t="inlineStr">
        <is>
          <t>Monday</t>
        </is>
      </c>
      <c r="E19" s="19" t="inlineStr">
        <is>
          <t>yes</t>
        </is>
      </c>
      <c r="F19" s="13" t="n">
        <v>15</v>
      </c>
      <c r="G19" s="16" t="n">
        <v>750000</v>
      </c>
      <c r="H19" s="16" t="n">
        <v>15000</v>
      </c>
      <c r="I19" s="16" t="n">
        <v>750000</v>
      </c>
      <c r="J19" s="16" t="n">
        <v>750000</v>
      </c>
      <c r="K19" s="16" t="n">
        <v>15000</v>
      </c>
      <c r="L19" s="16" t="n">
        <v>750000</v>
      </c>
      <c r="M19" s="16">
        <f>J19+K19</f>
        <v/>
      </c>
    </row>
    <row r="20">
      <c r="A20" s="13" t="n">
        <v>4</v>
      </c>
      <c r="B20" s="14" t="inlineStr">
        <is>
          <t>2026-02-10</t>
        </is>
      </c>
      <c r="C20" s="14" t="inlineStr">
        <is>
          <t>2026-02-10</t>
        </is>
      </c>
      <c r="D20" s="13" t="inlineStr">
        <is>
          <t>Tuesday</t>
        </is>
      </c>
      <c r="E20" s="13" t="inlineStr"/>
      <c r="F20" s="13" t="n">
        <v>16</v>
      </c>
      <c r="G20" s="16" t="n">
        <v>750000</v>
      </c>
      <c r="H20" s="16" t="n">
        <v>7500</v>
      </c>
      <c r="I20" s="16" t="n">
        <v>0</v>
      </c>
      <c r="J20" s="16" t="n">
        <v>750000</v>
      </c>
      <c r="K20" s="16" t="n">
        <v>7500</v>
      </c>
      <c r="L20" s="16" t="n">
        <v>0</v>
      </c>
      <c r="M20" s="16">
        <f>J20+K20</f>
        <v/>
      </c>
    </row>
    <row r="21">
      <c r="A21" s="7" t="inlineStr">
        <is>
          <t>Total</t>
        </is>
      </c>
      <c r="G21" s="20">
        <f>SUM(G17:G20)</f>
        <v/>
      </c>
      <c r="H21" s="20">
        <f>SUM(H17:H20)</f>
        <v/>
      </c>
      <c r="J21" s="20">
        <f>SUM(J17:J20)</f>
        <v/>
      </c>
      <c r="K21" s="20">
        <f>SUM(K17:K20)</f>
        <v/>
      </c>
      <c r="M21" s="20">
        <f>SUM(M17:M20)</f>
        <v/>
      </c>
    </row>
    <row r="22">
      <c r="A22" s="21" t="inlineStr">
        <is>
          <t>Check: principal total equals amount</t>
        </is>
      </c>
      <c r="G22" s="22">
        <f>IF(ROUND(G21-B5,2)=0,"OK","DIFF")</f>
        <v/>
      </c>
    </row>
    <row r="23">
      <c r="A23" s="23" t="inlineStr">
        <is>
          <t>Legend: yellow = due date moved off a weekend/holiday; green = first installment pro-rated by days.</t>
        </is>
      </c>
    </row>
  </sheetData>
  <mergeCells count="2">
    <mergeCell ref="A2:M2"/>
    <mergeCell ref="A14:M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2026-10-03T09:01:02Z</dcterms:created>
  <dcterms:modified xsi:type="dcterms:W3CDTF">2026-10-03T09:01:02Z</dcterms:modified>
</cp:coreProperties>
</file>